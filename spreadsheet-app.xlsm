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6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7.xml" ContentType="application/vnd.openxmlformats-officedocument.drawing+xml"/>
  <Override PartName="/xl/ctrlProps/ctrlProp5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trlProps/ctrlProp55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ctrlProps/ctrlProp5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11.xml" ContentType="application/vnd.openxmlformats-officedocument.drawing+xml"/>
  <Override PartName="/xl/ctrlProps/ctrlProp59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60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30" yWindow="30" windowWidth="11130" windowHeight="7270" tabRatio="904"/>
  </bookViews>
  <sheets>
    <sheet name="setup" sheetId="38" r:id="rId1"/>
    <sheet name="Infantry" sheetId="55" r:id="rId2"/>
    <sheet name="Mechanised" sheetId="56" state="veryHidden" r:id="rId3"/>
    <sheet name="Armour" sheetId="57" state="veryHidden" r:id="rId4"/>
    <sheet name="Airbourne" sheetId="58" state="veryHidden" r:id="rId5"/>
    <sheet name="Battle_group" sheetId="25" state="veryHidden" r:id="rId6"/>
    <sheet name="SF1" sheetId="24" r:id="rId7"/>
    <sheet name="SF2" sheetId="49" r:id="rId8"/>
    <sheet name="SF3" sheetId="50" state="veryHidden" r:id="rId9"/>
    <sheet name="data cards" sheetId="62" r:id="rId10"/>
    <sheet name="matched play generator" sheetId="33" r:id="rId11"/>
    <sheet name="data card templates" sheetId="61" state="veryHidden" r:id="rId12"/>
    <sheet name="lists" sheetId="45" state="veryHidden" r:id="rId13"/>
    <sheet name="divs nats data base" sheetId="37" state="veryHidden" r:id="rId14"/>
    <sheet name="unit calc" sheetId="27" state="veryHidden" r:id="rId15"/>
    <sheet name="updates" sheetId="34" state="veryHidden" r:id="rId16"/>
  </sheets>
  <functionGroups builtInGroupCount="18"/>
  <definedNames>
    <definedName name="finlandAirbourneasset">lists!$CQ$2:$CQ$8</definedName>
    <definedName name="finlandAirbourneAsset_Squad">lists!$DP$2:$DP$15</definedName>
    <definedName name="finlandAirbourneasset_team">lists!$DT$2:$DT$8</definedName>
    <definedName name="finlandAirbournecommander">lists!$DA$2:$DA$6</definedName>
    <definedName name="finlandAirbournespecial_forces">lists!$DA$2:$DA$5</definedName>
    <definedName name="finlandAirbournespecial_forces_1">lists!$DQ$2:$DQ$3</definedName>
    <definedName name="finlandAirbournespecial_forces_2">lists!$DR$2:$DR$3</definedName>
    <definedName name="finlandAirbournespecial_forces_3">lists!$DS$2:$DS$3</definedName>
    <definedName name="finlandAirbournestandard_squad">lists!$DO$2:$DO$6</definedName>
    <definedName name="finlandarmourcommander">lists!$EE$2:$EE$11</definedName>
    <definedName name="finlandarmourtanks">lists!$EF$2:$EF$11</definedName>
    <definedName name="finlandBattle_groupasset">lists!$CU$2:$CU$14</definedName>
    <definedName name="finlandBattle_groupasset_gun">lists!$DG$2:$DG$8</definedName>
    <definedName name="finlandBattle_groupAsset_Squad">lists!$DV$2:$DV$15</definedName>
    <definedName name="finlandBattle_groupasset_team">lists!$DZ$2:$DZ$8</definedName>
    <definedName name="finlandBattle_groupcommander">lists!$DE$2:$DE$8</definedName>
    <definedName name="finlandBattle_groupfeild_gun">lists!$EA$2:$EA$8</definedName>
    <definedName name="finlandBattle_groupfeildgun_squad">lists!$EB$2:$EB$8</definedName>
    <definedName name="finlandBattle_groupspecial_forces">lists!$DE$2:$DE$5</definedName>
    <definedName name="finlandBattle_groupspecial_forces_1">lists!$DW$2:$DW$3</definedName>
    <definedName name="finlandBattle_groupspecial_forces_2">lists!$DX$2:$DX$3</definedName>
    <definedName name="finlandBattle_groupspecial_forces_3">lists!$DY$2:$DY$3</definedName>
    <definedName name="finlandBattle_groupstandard_squad">lists!$DU$2:$DU$6</definedName>
    <definedName name="finlandBattle_grouptanks">lists!$ED$2:$ED$11</definedName>
    <definedName name="finlandBattle_groupvehicle">lists!$EC$2:$EC$6</definedName>
    <definedName name="finlandInfantryasset">lists!$CD$2:$CD$14</definedName>
    <definedName name="finlandInfantryasset_gun">lists!$CN$2:$CN$8</definedName>
    <definedName name="finlandInfantryAsset_Squad">lists!$CZ$2:$CZ$15</definedName>
    <definedName name="finlandInfantryasset_team">lists!$DC$2:$DC$8</definedName>
    <definedName name="finlandInfantrycommander">lists!$CL$2:$CL$6</definedName>
    <definedName name="finlandInfantryfeild_gun">lists!$DD$2:$DD$8</definedName>
    <definedName name="finlandInfantryfeildgun_squad">lists!$DE$2:$DE$8</definedName>
    <definedName name="finlandInfantryspecial_forces">lists!$CL$2:$CL$4</definedName>
    <definedName name="finlandInfantryspecial_forces_1">lists!$DA$2:$DA$3</definedName>
    <definedName name="finlandInfantryspecial_forces_2">lists!$DB$2:$DB$3</definedName>
    <definedName name="finlandInfantrystandard_squad">lists!$CY$2:$CY$6</definedName>
    <definedName name="finlandInfantryvehicle">lists!$DF$2:$DF$5</definedName>
    <definedName name="finlandmechanisedAsset">lists!$CJ$2:$CJ$14</definedName>
    <definedName name="finlandmechanisedasset_gun">lists!$CU$2:$CU$8</definedName>
    <definedName name="finlandmechanisedAsset_Squad">lists!$DH$2:$DH$15</definedName>
    <definedName name="finlandmechanisedasset_team">lists!$DJ$2:$DJ$8</definedName>
    <definedName name="finlandmechanisedcommander">lists!$CS$2:$CS$6</definedName>
    <definedName name="finlandmechanisedfeild_gun">lists!$DK$2:$DK$8</definedName>
    <definedName name="finlandmechanisedfeildgun_squad">lists!$DL$2:$DL$8</definedName>
    <definedName name="finlandmechanisedspecial_forces">lists!$CS$2:$CS$3</definedName>
    <definedName name="finlandmechanisedspecial_forces_1">lists!$DI$2:$DI$3</definedName>
    <definedName name="finlandmechanisedstandard_squad">lists!$DG$2:$DG$6</definedName>
    <definedName name="finlandmechanisedtanks">lists!$DN$2:$DN$5</definedName>
    <definedName name="finlandmechanisedvehicle">lists!$DM$2:$DM$9</definedName>
    <definedName name="germanyAirbourneasset">lists!$AQ$2:$AQ$8</definedName>
    <definedName name="germanyAirbourneAsset_Squad">lists!$AZ$2:$AZ$15</definedName>
    <definedName name="germanyAirbourneasset_team">lists!$BD$2:$BD$8</definedName>
    <definedName name="germanyAirbournecommander">lists!$AU$2:$AU$6</definedName>
    <definedName name="germanyAirbournespecial_forces">lists!$AU$2:$AU$5</definedName>
    <definedName name="germanyAirbournespecial_forces_1">lists!$BA$2:$BA$3</definedName>
    <definedName name="germanyAirbournespecial_forces_2">lists!$BB$2:$BB$3</definedName>
    <definedName name="germanyAirbournespecial_forces_3">lists!$BC$2:$BC$3</definedName>
    <definedName name="germanyAirbournestandard_squad">lists!$AY$2:$AY$6</definedName>
    <definedName name="germanyarmourcommander">lists!$BO$2:$BO$13</definedName>
    <definedName name="germanyarmourtanks">lists!$BP$2:$BP$13</definedName>
    <definedName name="germanyBattle_groupasset">lists!$AU$2:$AU$13</definedName>
    <definedName name="germanyBattle_groupasset_gun">lists!$BA$2:$BA$7</definedName>
    <definedName name="germanyBattle_groupAsset_Squad">lists!$BF$2:$BF$15</definedName>
    <definedName name="germanyBattle_groupasset_team">lists!$BJ$2:$BJ$8</definedName>
    <definedName name="germanyBattle_groupcommander">lists!$AY$2:$AY$9</definedName>
    <definedName name="germanyBattle_groupfeild_gun">lists!$BK$2:$BK$7</definedName>
    <definedName name="germanyBattle_groupfeildgun_squad">lists!$BL$2:$BL$7</definedName>
    <definedName name="germanyBattle_groupspecial_forces">lists!$AY$2:$AY$5</definedName>
    <definedName name="germanyBattle_groupspecial_forces_1">lists!$BG$2:$BG$3</definedName>
    <definedName name="germanyBattle_groupspecial_forces_2">lists!$BH$2:$BH$3</definedName>
    <definedName name="germanyBattle_groupspecial_forces_3">lists!$BI$2:$BI$3</definedName>
    <definedName name="germanyBattle_groupstandard_squad">lists!$BE$2:$BE$6</definedName>
    <definedName name="germanyBattle_grouptanks">lists!$BN$2:$BN$13</definedName>
    <definedName name="germanyBattle_groupvehicle">lists!$BM$2:$BM$6</definedName>
    <definedName name="germanyInfantryasset">lists!$AD$2:$AD$13</definedName>
    <definedName name="germanyInfantryasset_gun">lists!$AH$2:$AH$7</definedName>
    <definedName name="germanyInfantryAsset_Squad">lists!$AJ$2:$AJ$15</definedName>
    <definedName name="germanyInfantryasset_team">lists!$AM$2:$AM$8</definedName>
    <definedName name="germanyInfantrycommander">lists!$AF$2:$AF$6</definedName>
    <definedName name="germanyInfantryfeild_gun">lists!$AN$2:$AN$7</definedName>
    <definedName name="germanyInfantryfeildgun_squad">lists!$AO$2:$AO$7</definedName>
    <definedName name="germanyInfantryspecial_forces">lists!$AF$2:$AF$4</definedName>
    <definedName name="germanyInfantryspecial_forces_1">lists!$AK$2:$AK$3</definedName>
    <definedName name="germanyInfantryspecial_forces_2">lists!$AL$2:$AL$3</definedName>
    <definedName name="germanyInfantrystandard_squad">lists!$AI$2:$AI$6</definedName>
    <definedName name="germanyInfantryvehicle">lists!$AP$2:$AP$6</definedName>
    <definedName name="germanymechanisedAsset">lists!$AJ$2:$AJ$13</definedName>
    <definedName name="germanymechanisedasset_gun">lists!$AO$2:$AO$7</definedName>
    <definedName name="germanymechanisedAsset_Squad">lists!$AR$2:$AR$15</definedName>
    <definedName name="germanymechanisedasset_team">lists!$AT$2:$AT$8</definedName>
    <definedName name="germanymechanisedcommander">lists!$AM$2:$AM$6</definedName>
    <definedName name="germanymechanisedfeild_gun">lists!$AU$2:$AU$7</definedName>
    <definedName name="germanymechanisedfeildgun_squad">lists!$AV$2:$AV$7</definedName>
    <definedName name="germanymechanisedspecial_forces">lists!$AM$2:$AM$3</definedName>
    <definedName name="germanymechanisedspecial_forces_1">lists!$AS$2:$AS$3</definedName>
    <definedName name="germanymechanisedstandard_squad">lists!$AQ$2:$AQ$6</definedName>
    <definedName name="germanymechanisedtanks">lists!$AX$2:$AX$7</definedName>
    <definedName name="germanymechanisedvehicle">lists!$AW$2:$AW$11</definedName>
    <definedName name="Great_BritainAirbourneasset">lists!$BQ$2:$BQ$8</definedName>
    <definedName name="Great_BritainAirbourneAsset_Squad">lists!$CH$2:$CH$15</definedName>
    <definedName name="Great_BritainAirbourneasset_team">lists!$CL$2:$CL$8</definedName>
    <definedName name="Great_BritainAirbournecommander">lists!$BX$2:$BX$6</definedName>
    <definedName name="Great_BritainAirbournespecial_forces">lists!$BX$2:$BX$5</definedName>
    <definedName name="Great_BritainAirbournespecial_forces_1">lists!$CI$2:$CI$3</definedName>
    <definedName name="Great_BritainAirbournespecial_forces_2">lists!$CJ$2:$CJ$3</definedName>
    <definedName name="Great_BritainAirbournespecial_forces_3">lists!$CK$2:$CK$3</definedName>
    <definedName name="Great_BritainAirbournestandard_squad">lists!$CG$2:$CG$6</definedName>
    <definedName name="Great_Britainarmourcommander">lists!$CW$2:$CW$14</definedName>
    <definedName name="Great_Britainarmourtanks">lists!$CX$2:$CX$14</definedName>
    <definedName name="Great_BritainBattle_groupasset">lists!$BU$2:$BU$12</definedName>
    <definedName name="Great_BritainBattle_groupasset_gun">lists!$CD$2:$CD$6</definedName>
    <definedName name="Great_BritainBattle_groupAsset_Squad">lists!$CN$2:$CN$15</definedName>
    <definedName name="Great_BritainBattle_groupasset_team">lists!$CR$2:$CR$8</definedName>
    <definedName name="Great_BritainBattle_groupcommander">lists!$CB$2:$CB$12</definedName>
    <definedName name="Great_BritainBattle_groupfeild_gun">lists!$CS$2:$CS$6</definedName>
    <definedName name="Great_BritainBattle_groupfeildgun_squad">lists!$CT$2:$CT$6</definedName>
    <definedName name="Great_BritainBattle_groupspecial_forces">lists!$CB$2:$CB$5</definedName>
    <definedName name="Great_BritainBattle_groupspecial_forces_1">lists!$CO$2:$CO$3</definedName>
    <definedName name="Great_BritainBattle_groupspecial_forces_2">lists!$CP$2:$CP$3</definedName>
    <definedName name="Great_BritainBattle_groupspecial_forces_3">lists!$CQ$2:$CQ$3</definedName>
    <definedName name="Great_BritainBattle_groupstandard_squad">lists!$CM$2:$CM$6</definedName>
    <definedName name="Great_BritainBattle_grouptanks">lists!$CV$2:$CV$14</definedName>
    <definedName name="Great_BritainBattle_groupvehicle">lists!$CU$2:$CU$7</definedName>
    <definedName name="Great_BritainInfantryasset">lists!$BD$2:$BD$12</definedName>
    <definedName name="Great_BritainInfantryasset_gun">lists!$BK$2:$BK$6</definedName>
    <definedName name="Great_BritainInfantryAsset_Squad">lists!$BR$2:$BR$15</definedName>
    <definedName name="Great_BritainInfantryasset_team">lists!$BU$2:$BU$8</definedName>
    <definedName name="Great_BritainInfantrycommander">lists!$BI$2:$BI$6</definedName>
    <definedName name="Great_BritainInfantryfeild_gun">lists!$BV$2:$BV$6</definedName>
    <definedName name="Great_BritainInfantryfeildgun_squad">lists!$BW$2:$BW$6</definedName>
    <definedName name="Great_BritainInfantryspecial_forces">lists!$BI$2:$BI$4</definedName>
    <definedName name="Great_BritainInfantryspecial_forces_1">lists!$BS$2:$BS$3</definedName>
    <definedName name="Great_BritainInfantryspecial_forces_2">lists!$BT$2:$BT$3</definedName>
    <definedName name="Great_BritainInfantrystandard_squad">lists!$BQ$2:$BQ$6</definedName>
    <definedName name="Great_BritainInfantryvehicle">lists!$BX$2:$BX$5</definedName>
    <definedName name="Great_BritainmechanisedAsset">lists!$BJ$2:$BJ$12</definedName>
    <definedName name="Great_Britainmechanisedasset_gun">lists!$BR$2:$BR$6</definedName>
    <definedName name="Great_BritainmechanisedAsset_Squad">lists!$BZ$2:$BZ$15</definedName>
    <definedName name="Great_Britainmechanisedasset_team">lists!$CB$2:$CB$8</definedName>
    <definedName name="Great_Britainmechanisedcommander">lists!$BP$2:$BP$6</definedName>
    <definedName name="Great_Britainmechanisedfeild_gun">lists!$CC$2:$CC$6</definedName>
    <definedName name="Great_Britainmechanisedfeildgun_squad">lists!$CD$2:$CD$6</definedName>
    <definedName name="Great_Britainmechanisedspecial_forces">lists!$BP$2:$BP$3</definedName>
    <definedName name="Great_Britainmechanisedspecial_forces_1">lists!$CA$2:$CA$3</definedName>
    <definedName name="Great_Britainmechanisedstandard_squad">lists!$BY$2:$BY$6</definedName>
    <definedName name="Great_Britainmechanisedtanks">lists!$CF$2:$CF$7</definedName>
    <definedName name="Great_Britainmechanisedvehicle">lists!$CE$2:$CE$12</definedName>
    <definedName name="japanAirbourneasset">lists!$EQ$2:$EQ$8</definedName>
    <definedName name="japanAirbourneAsset_Squad">lists!$GF$2:$GF$15</definedName>
    <definedName name="japanAirbourneasset_team">lists!$GJ$2:$GJ$8</definedName>
    <definedName name="japanAirbournecommander">lists!$FG$2:$FG$6</definedName>
    <definedName name="japanAirbournespecial_forces">lists!$FG$2:$FG$5</definedName>
    <definedName name="japanAirbournespecial_forces_1">lists!$GG$2:$GG$3</definedName>
    <definedName name="japanAirbournespecial_forces_2">lists!$GH$2:$GH$3</definedName>
    <definedName name="japanAirbournespecial_forces_3">lists!$GI$2:$GI$3</definedName>
    <definedName name="japanAirbournestandard_squad">lists!$GE$2:$GE$6</definedName>
    <definedName name="japanarmourcommander">lists!$GU$2:$GU$3</definedName>
    <definedName name="japanarmourtanks">lists!$GV$2:$GV$3</definedName>
    <definedName name="japanBattle_groupasset">lists!$EU$2:$EU$11</definedName>
    <definedName name="japanBattle_groupasset_gun">lists!$FM$2:$FM$5</definedName>
    <definedName name="japanBattle_groupAsset_Squad">lists!$GL$2:$GL$15</definedName>
    <definedName name="japanBattle_groupasset_team">lists!$GP$2:$GP$8</definedName>
    <definedName name="japanBattle_groupcommander">lists!$FK$2:$FK$8</definedName>
    <definedName name="japanBattle_groupfeild_gun">lists!$GQ$2:$GQ$5</definedName>
    <definedName name="japanBattle_groupfeildgun_squad">lists!$GR$2:$GR$5</definedName>
    <definedName name="japanBattle_groupspecial_forces">lists!$FK$2:$FK$5</definedName>
    <definedName name="japanBattle_groupspecial_forces_1">lists!$GM$2:$GM$3</definedName>
    <definedName name="japanBattle_groupspecial_forces_2">lists!$GN$2:$GN$3</definedName>
    <definedName name="japanBattle_groupspecial_forces_3">lists!$GO$2:$GO$3</definedName>
    <definedName name="japanBattle_groupstandard_squad">lists!$GK$2:$GK$6</definedName>
    <definedName name="japanBattle_grouptanks">lists!$GT$2:$GT$3</definedName>
    <definedName name="japanBattle_groupvehicle">lists!$GS$2:$GS$6</definedName>
    <definedName name="japanInfantryasset">lists!$ED$2:$ED$11</definedName>
    <definedName name="japanInfantryasset_gun">lists!$ET$2:$ET$5</definedName>
    <definedName name="japanInfantryAsset_Squad">lists!$FP$2:$FP$15</definedName>
    <definedName name="japanInfantryasset_team">lists!$FS$2:$FS$8</definedName>
    <definedName name="japanInfantrycommander">lists!$ER$2:$ER$6</definedName>
    <definedName name="japanInfantryfeild_gun">lists!$FT$2:$FT$5</definedName>
    <definedName name="japanInfantryfeildgun_squad">lists!$FU$2:$FU$5</definedName>
    <definedName name="japanInfantryspecial_forces">lists!$ER$2:$ER$4</definedName>
    <definedName name="japanInfantryspecial_forces_1">lists!$FQ$2:$FQ$3</definedName>
    <definedName name="japanInfantryspecial_forces_2">lists!$FR$2:$FR$3</definedName>
    <definedName name="japanInfantrystandard_squad">lists!$FO$2:$FO$6</definedName>
    <definedName name="japanInfantryvehicle">lists!$FV$2:$FV$5</definedName>
    <definedName name="japanmechanisedAsset">lists!$EJ$2:$EJ$11</definedName>
    <definedName name="japanmechanisedasset_gun">lists!$FA$2:$FA$5</definedName>
    <definedName name="japanmechanisedAsset_Squad">lists!$FX$2:$FX$15</definedName>
    <definedName name="japanmechanisedasset_team">lists!$FZ$2:$FZ$8</definedName>
    <definedName name="japanmechanisedcommander">lists!$EY$2:$EY$6</definedName>
    <definedName name="japanmechanisedfeild_gun">lists!$GA$2:$GA$5</definedName>
    <definedName name="japanmechanisedfeildgun_squad">lists!$GB$2:$GB$5</definedName>
    <definedName name="japanmechanisedspecial_forces">lists!$EY$2:$EY$3</definedName>
    <definedName name="japanmechanisedspecial_forces_1">lists!$FY$2:$FY$3</definedName>
    <definedName name="japanmechanisedstandard_squad">lists!$FW$2:$FW$6</definedName>
    <definedName name="japanmechanisedtanks">lists!$GD$2:$GD$3</definedName>
    <definedName name="japanmechanisedvehicle">lists!$GC$2:$GC$7</definedName>
    <definedName name="_xlnm.Print_Area" localSheetId="4">Airbourne!$C$1:$J$42</definedName>
    <definedName name="_xlnm.Print_Area" localSheetId="3">Armour!$C$1:$F$39</definedName>
    <definedName name="_xlnm.Print_Area" localSheetId="5">Battle_group!$C$1:$J$42</definedName>
    <definedName name="_xlnm.Print_Area" localSheetId="9">'data cards'!$A$1</definedName>
    <definedName name="_xlnm.Print_Area" localSheetId="1">Infantry!$C$1:$J$42</definedName>
    <definedName name="_xlnm.Print_Area" localSheetId="2">Mechanised!$C$1:$J$42</definedName>
    <definedName name="_xlnm.Print_Area" localSheetId="0">setup!$E$1:$I$26</definedName>
    <definedName name="russiaAirbourneasset">lists!$DQ$2:$DQ$8</definedName>
    <definedName name="russiaAirbourneAsset_Squad">lists!$EX$2:$EX$15</definedName>
    <definedName name="russiaAirbourneasset_team">lists!$FB$2:$FB$8</definedName>
    <definedName name="russiaAirbournecommander">lists!$ED$2:$ED$6</definedName>
    <definedName name="russiaAirbournespecial_forces">lists!$ED$2:$ED$5</definedName>
    <definedName name="russiaAirbournespecial_forces_1">lists!$EY$2:$EY$3</definedName>
    <definedName name="russiaAirbournespecial_forces_2">lists!$EZ$2:$EZ$3</definedName>
    <definedName name="russiaAirbournespecial_forces_3">lists!$FA$2:$FA$3</definedName>
    <definedName name="russiaAirbournestandard_squad">lists!$EW$2:$EW$6</definedName>
    <definedName name="russiaarmourcommander">lists!$FM$2:$FM$8</definedName>
    <definedName name="russiaarmourtanks">lists!$FN$2:$FN$8</definedName>
    <definedName name="russiaBattle_groupasset">lists!$DU$2:$DU$15</definedName>
    <definedName name="russiaBattle_groupasset_gun">lists!$EJ$2:$EJ$9</definedName>
    <definedName name="russiaBattle_groupAsset_Squad">lists!$FD$2:$FD$15</definedName>
    <definedName name="russiaBattle_groupasset_team">lists!$FH$2:$FH$8</definedName>
    <definedName name="russiaBattle_groupcommander">lists!$EH$2:$EH$8</definedName>
    <definedName name="russiaBattle_groupfeild_gun">lists!$FI$2:$FI$9</definedName>
    <definedName name="russiaBattle_groupfeildgun_squad">lists!$FJ$2:$FJ$9</definedName>
    <definedName name="russiaBattle_groupspecial_forces">lists!$EH$2:$EH$5</definedName>
    <definedName name="russiaBattle_groupspecial_forces_1">lists!$FE$2:$FE$3</definedName>
    <definedName name="russiaBattle_groupspecial_forces_2">lists!$FF$2:$FF$3</definedName>
    <definedName name="russiaBattle_groupspecial_forces_3">lists!$FG$2:$FG$3</definedName>
    <definedName name="russiaBattle_groupstandard_squad">lists!$FC$2:$FC$6</definedName>
    <definedName name="russiaBattle_grouptanks">lists!$FL$2:$FL$8</definedName>
    <definedName name="russiaBattle_groupvehicle">lists!$FK$2:$FK$6</definedName>
    <definedName name="russiaInfantryasset">lists!$DD$2:$DD$15</definedName>
    <definedName name="russiaInfantryasset_gun">lists!$DQ$2:$DQ$9</definedName>
    <definedName name="russiaInfantryAsset_Squad">lists!$EH$2:$EH$15</definedName>
    <definedName name="russiaInfantryasset_team">lists!$EK$2:$EK$8</definedName>
    <definedName name="russiaInfantrycommander">lists!$DO$2:$DO$6</definedName>
    <definedName name="russiaInfantryfeild_gun">lists!$EL$2:$EL$9</definedName>
    <definedName name="russiaInfantryfeildgun_squad">lists!$EM$2:$EM$9</definedName>
    <definedName name="russiaInfantryspecial_forces">lists!$DO$2:$DO$4</definedName>
    <definedName name="russiaInfantryspecial_forces_1">lists!$EI$2:$EI$3</definedName>
    <definedName name="russiaInfantryspecial_forces_2">lists!$EJ$2:$EJ$3</definedName>
    <definedName name="russiaInfantrystandard_squad">lists!$EG$2:$EG$6</definedName>
    <definedName name="russiaInfantryvehicle">lists!$EN$2:$EN$5</definedName>
    <definedName name="russiamechanisedAsset">lists!$DJ$2:$DJ$15</definedName>
    <definedName name="russiamechanisedasset_gun">lists!$DX$2:$DX$9</definedName>
    <definedName name="russiamechanisedAsset_Squad">lists!$EP$2:$EP$15</definedName>
    <definedName name="russiamechanisedasset_team">lists!$ER$2:$ER$8</definedName>
    <definedName name="russiamechanisedcommander">lists!$DV$2:$DV$6</definedName>
    <definedName name="russiamechanisedfeild_gun">lists!$ES$2:$ES$9</definedName>
    <definedName name="russiamechanisedfeildgun_squad">lists!$ET$2:$ET$9</definedName>
    <definedName name="russiamechanisedspecial_forces">lists!$DV$2:$DV$3</definedName>
    <definedName name="russiamechanisedspecial_forces_1">lists!$EQ$2:$EQ$3</definedName>
    <definedName name="russiamechanisedstandard_squad">lists!$EO$2:$EO$6</definedName>
    <definedName name="russiamechanisedtanks">lists!$EV$2:$EV$4</definedName>
    <definedName name="russiamechanisedvehicle">lists!$EU$2:$EU$8</definedName>
    <definedName name="squad_types">'divs nats data base'!$G$1:$G$4</definedName>
    <definedName name="standard_squad">lists!$AA$839:$AA$843</definedName>
    <definedName name="usaAirbourneasset">lists!$Q$2:$Q$8</definedName>
    <definedName name="usaAirbourneAsset_Squad">lists!$R$2:$R$15</definedName>
    <definedName name="usaAirbourneasset_team">lists!$V$2:$V$8</definedName>
    <definedName name="usaAirbournecommander">lists!$Q$2:$Q$6</definedName>
    <definedName name="usaAirbournespecial_forces">lists!$R$2:$R$5</definedName>
    <definedName name="usaAirbournespecial_forces_1">lists!$S$2:$S$3</definedName>
    <definedName name="usaAirbournespecial_forces_2">lists!$T$2:$T$3</definedName>
    <definedName name="usaAirbournespecial_forces_3">lists!$U$2:$U$3</definedName>
    <definedName name="usaAirbournestandard_squad">lists!$Q$2:$Q$6</definedName>
    <definedName name="usaarmourcommander">lists!$AG$2:$AG$12</definedName>
    <definedName name="usaarmourtanks">lists!$AH$2:$AH$12</definedName>
    <definedName name="usaBattle_groupasset">lists!$U$2:$U$12</definedName>
    <definedName name="usaBattle_groupasset_gun">lists!$X$2:$X$6</definedName>
    <definedName name="usaBattle_groupAsset_Squad">lists!$X$2:$X$15</definedName>
    <definedName name="usaBattle_groupasset_team">lists!$AB$2:$AB$8</definedName>
    <definedName name="usaBattle_groupcommander">lists!$U$2:$U$9</definedName>
    <definedName name="usaBattle_groupfeild_gun">lists!$AC$2:$AC$6</definedName>
    <definedName name="usaBattle_groupfeildgun_squad">lists!$AD$2:$AD$6</definedName>
    <definedName name="usaBattle_groupspecial_forces">lists!$V$2:$V$5</definedName>
    <definedName name="usaBattle_groupspecial_forces_1">lists!$Y$2:$Y$3</definedName>
    <definedName name="usaBattle_groupspecial_forces_2">lists!$Z$2:$Z$3</definedName>
    <definedName name="usaBattle_groupspecial_forces_3">lists!$AA$2:$AA$3</definedName>
    <definedName name="usaBattle_groupstandard_squad">lists!$W$2:$W$6</definedName>
    <definedName name="usaBattle_grouptanks">lists!$AF$2:$AF$12</definedName>
    <definedName name="usaBattle_groupvehicle">lists!$AE$2:$AE$7</definedName>
    <definedName name="usaInfantryasset">lists!$D$2:$D$12</definedName>
    <definedName name="usaInfantryasset_gun">lists!$E$2:$E$6</definedName>
    <definedName name="usaInfantryAsset_Squad">lists!$B$2:$B$15</definedName>
    <definedName name="usaInfantryasset_team">lists!$E$2:$E$8</definedName>
    <definedName name="usaInfantrycommander">lists!$A$2:$A$6</definedName>
    <definedName name="usaInfantryfeild_gun">lists!$F$2:$F$6</definedName>
    <definedName name="usaInfantryfeildgun_squad">lists!$G$2:$G$6</definedName>
    <definedName name="usaInfantryspecial_forces">lists!$C$2:$C$4</definedName>
    <definedName name="usaInfantryspecial_forces_1">lists!$C$2:$C$3</definedName>
    <definedName name="usaInfantryspecial_forces_2">lists!$D$2:$D$3</definedName>
    <definedName name="usaInfantrystandard_squad">lists!$A$2:$A$6</definedName>
    <definedName name="usaInfantryvehicle">lists!$H$2:$H$5</definedName>
    <definedName name="usamechanisedAsset">lists!$J$2:$J$12</definedName>
    <definedName name="usamechanisedasset_gun">lists!$K$2:$K$6</definedName>
    <definedName name="usamechanisedAsset_Squad">lists!$K$2:$K$15</definedName>
    <definedName name="usamechanisedasset_team">lists!$L$2:$L$8</definedName>
    <definedName name="usamechanisedcommander">lists!$I$2:$I$6</definedName>
    <definedName name="usamechanisedfeild_gun">lists!$M$2:$M$6</definedName>
    <definedName name="usamechanisedfeildgun_squad">lists!$N$2:$N$6</definedName>
    <definedName name="usamechanisedspecial_forces">lists!$M$2:$M$3</definedName>
    <definedName name="usamechanisedspecial_forces_1">lists!$O$2:$O$3</definedName>
    <definedName name="usamechanisedstandard_squad">lists!$J$2:$J$6</definedName>
    <definedName name="usamechanisedtanks">lists!$P$2:$P$5</definedName>
    <definedName name="usamechanisedvehicle">lists!$I$2:$I$9</definedName>
  </definedNames>
  <calcPr calcId="152511"/>
</workbook>
</file>

<file path=xl/calcChain.xml><?xml version="1.0" encoding="utf-8"?>
<calcChain xmlns="http://schemas.openxmlformats.org/spreadsheetml/2006/main">
  <c r="B103" i="27" l="1"/>
  <c r="B104" i="27"/>
  <c r="B105" i="27"/>
  <c r="B106" i="27"/>
  <c r="B107" i="27"/>
  <c r="B108" i="27"/>
  <c r="B109" i="27"/>
  <c r="B110" i="27"/>
  <c r="B111" i="27"/>
  <c r="B112" i="27"/>
  <c r="B113" i="27"/>
  <c r="B114" i="27"/>
  <c r="B115" i="27"/>
  <c r="B116" i="27"/>
  <c r="B117" i="27"/>
  <c r="B118" i="27"/>
  <c r="B119" i="27"/>
  <c r="B120" i="27"/>
  <c r="B121" i="27"/>
  <c r="D4" i="50" l="1"/>
  <c r="C20" i="50" l="1"/>
  <c r="C21" i="50"/>
  <c r="C22" i="50"/>
  <c r="C23" i="50"/>
  <c r="C24" i="50"/>
  <c r="C19" i="50"/>
  <c r="C6" i="50"/>
  <c r="C7" i="50"/>
  <c r="C8" i="50"/>
  <c r="C9" i="50"/>
  <c r="C10" i="50"/>
  <c r="C11" i="50"/>
  <c r="C12" i="50"/>
  <c r="C13" i="50"/>
  <c r="C14" i="50"/>
  <c r="C15" i="50"/>
  <c r="C16" i="50"/>
  <c r="C17" i="50"/>
  <c r="C5" i="50"/>
  <c r="C20" i="49"/>
  <c r="C21" i="49"/>
  <c r="C22" i="49"/>
  <c r="C23" i="49"/>
  <c r="C11" i="49"/>
  <c r="C12" i="49"/>
  <c r="C13" i="49"/>
  <c r="C14" i="49"/>
  <c r="C15" i="49"/>
  <c r="C16" i="49"/>
  <c r="F282" i="27"/>
  <c r="E273" i="27"/>
  <c r="F273" i="27"/>
  <c r="G273" i="27"/>
  <c r="D273" i="27"/>
  <c r="D255" i="27"/>
  <c r="E255" i="27"/>
  <c r="F255" i="27"/>
  <c r="G255" i="27"/>
  <c r="G282" i="27"/>
  <c r="E282" i="27"/>
  <c r="D282" i="27"/>
  <c r="G281" i="27"/>
  <c r="F281" i="27"/>
  <c r="E281" i="27"/>
  <c r="D281" i="27"/>
  <c r="G280" i="27"/>
  <c r="F280" i="27"/>
  <c r="E280" i="27"/>
  <c r="D280" i="27"/>
  <c r="G279" i="27"/>
  <c r="F279" i="27"/>
  <c r="E279" i="27"/>
  <c r="D279" i="27"/>
  <c r="G278" i="27"/>
  <c r="F278" i="27"/>
  <c r="E278" i="27"/>
  <c r="D278" i="27"/>
  <c r="G277" i="27"/>
  <c r="F277" i="27"/>
  <c r="E277" i="27"/>
  <c r="D277" i="27"/>
  <c r="G272" i="27"/>
  <c r="F272" i="27"/>
  <c r="E272" i="27"/>
  <c r="D272" i="27"/>
  <c r="G271" i="27"/>
  <c r="F271" i="27"/>
  <c r="E271" i="27"/>
  <c r="D271" i="27"/>
  <c r="G270" i="27"/>
  <c r="F270" i="27"/>
  <c r="E270" i="27"/>
  <c r="D270" i="27"/>
  <c r="G269" i="27"/>
  <c r="F269" i="27"/>
  <c r="E269" i="27"/>
  <c r="D269" i="27"/>
  <c r="G264" i="27"/>
  <c r="F264" i="27"/>
  <c r="E264" i="27"/>
  <c r="D264" i="27"/>
  <c r="G263" i="27"/>
  <c r="F263" i="27"/>
  <c r="E263" i="27"/>
  <c r="D263" i="27"/>
  <c r="G262" i="27"/>
  <c r="F262" i="27"/>
  <c r="E262" i="27"/>
  <c r="D262" i="27"/>
  <c r="G261" i="27"/>
  <c r="F261" i="27"/>
  <c r="E261" i="27"/>
  <c r="D261" i="27"/>
  <c r="G260" i="27"/>
  <c r="F260" i="27"/>
  <c r="E260" i="27"/>
  <c r="D260" i="27"/>
  <c r="G259" i="27"/>
  <c r="F259" i="27"/>
  <c r="E259" i="27"/>
  <c r="D259" i="27"/>
  <c r="G254" i="27"/>
  <c r="F254" i="27"/>
  <c r="E254" i="27"/>
  <c r="D254" i="27"/>
  <c r="G253" i="27"/>
  <c r="F253" i="27"/>
  <c r="E253" i="27"/>
  <c r="D253" i="27"/>
  <c r="G252" i="27"/>
  <c r="F252" i="27"/>
  <c r="E252" i="27"/>
  <c r="D252" i="27"/>
  <c r="G251" i="27"/>
  <c r="F251" i="27"/>
  <c r="E251" i="27"/>
  <c r="D251" i="27"/>
  <c r="E246" i="27"/>
  <c r="F246" i="27"/>
  <c r="G246" i="27"/>
  <c r="E245" i="27"/>
  <c r="F245" i="27"/>
  <c r="G245" i="27"/>
  <c r="E244" i="27"/>
  <c r="F244" i="27"/>
  <c r="G244" i="27"/>
  <c r="E243" i="27"/>
  <c r="F243" i="27"/>
  <c r="G243" i="27"/>
  <c r="E242" i="27"/>
  <c r="F242" i="27"/>
  <c r="G242" i="27"/>
  <c r="E241" i="27"/>
  <c r="F241" i="27"/>
  <c r="G241" i="27"/>
  <c r="D246" i="27"/>
  <c r="D245" i="27"/>
  <c r="D244" i="27"/>
  <c r="D243" i="27"/>
  <c r="D242" i="27"/>
  <c r="D241" i="27"/>
  <c r="E237" i="27"/>
  <c r="F237" i="27"/>
  <c r="G237" i="27"/>
  <c r="E236" i="27"/>
  <c r="F236" i="27"/>
  <c r="G236" i="27"/>
  <c r="E235" i="27"/>
  <c r="F235" i="27"/>
  <c r="G235" i="27"/>
  <c r="E234" i="27"/>
  <c r="F234" i="27"/>
  <c r="G234" i="27"/>
  <c r="E233" i="27"/>
  <c r="F233" i="27"/>
  <c r="G233" i="27"/>
  <c r="D236" i="27"/>
  <c r="D235" i="27"/>
  <c r="D234" i="27"/>
  <c r="D233" i="27"/>
  <c r="GW22" i="45" l="1"/>
  <c r="GW21" i="45"/>
  <c r="GW20" i="45"/>
  <c r="GW19" i="45"/>
  <c r="GW18" i="45"/>
  <c r="GW17" i="45"/>
  <c r="GW16" i="45"/>
  <c r="GW15" i="45"/>
  <c r="GW14" i="45"/>
  <c r="GW13" i="45"/>
  <c r="GW12" i="45"/>
  <c r="GW11" i="45"/>
  <c r="GW10" i="45"/>
  <c r="GW9" i="45"/>
  <c r="GW8" i="45"/>
  <c r="GW7" i="45"/>
  <c r="GW6" i="45"/>
  <c r="GW5" i="45"/>
  <c r="GW4" i="45"/>
  <c r="GW3" i="45"/>
  <c r="GW2" i="45"/>
  <c r="C23" i="24" l="1"/>
  <c r="C24" i="24"/>
  <c r="B24" i="38"/>
  <c r="AD66" i="27" l="1"/>
  <c r="C40" i="37" l="1"/>
  <c r="C39" i="37"/>
  <c r="C38" i="37"/>
  <c r="B25" i="38"/>
  <c r="B26" i="38"/>
  <c r="A32" i="38" l="1"/>
  <c r="E1" i="38" s="1"/>
  <c r="C13" i="24"/>
  <c r="C14" i="24"/>
  <c r="C15" i="24"/>
  <c r="C16" i="24"/>
  <c r="B58" i="27" l="1"/>
  <c r="B59" i="27"/>
  <c r="B60" i="27"/>
  <c r="B61" i="27"/>
  <c r="B57" i="27"/>
  <c r="AK66" i="27" l="1"/>
  <c r="AN66" i="27" s="1"/>
  <c r="AL58" i="27"/>
  <c r="AN69" i="27"/>
  <c r="AN73" i="27"/>
  <c r="AN77" i="27"/>
  <c r="AN81" i="27"/>
  <c r="AN85" i="27"/>
  <c r="AN89" i="27"/>
  <c r="AN93" i="27"/>
  <c r="AN97" i="27"/>
  <c r="AN101" i="27"/>
  <c r="AK67" i="27"/>
  <c r="AN67" i="27" s="1"/>
  <c r="AK68" i="27"/>
  <c r="AN68" i="27" s="1"/>
  <c r="AK69" i="27"/>
  <c r="AK70" i="27"/>
  <c r="AN70" i="27" s="1"/>
  <c r="AK71" i="27"/>
  <c r="AN71" i="27" s="1"/>
  <c r="AK72" i="27"/>
  <c r="AN72" i="27" s="1"/>
  <c r="AK73" i="27"/>
  <c r="AK74" i="27"/>
  <c r="AN74" i="27" s="1"/>
  <c r="AK75" i="27"/>
  <c r="AN75" i="27" s="1"/>
  <c r="AK76" i="27"/>
  <c r="AN76" i="27" s="1"/>
  <c r="AK77" i="27"/>
  <c r="AK78" i="27"/>
  <c r="AN78" i="27" s="1"/>
  <c r="AK79" i="27"/>
  <c r="AN79" i="27" s="1"/>
  <c r="AK80" i="27"/>
  <c r="AN80" i="27" s="1"/>
  <c r="AK81" i="27"/>
  <c r="AK82" i="27"/>
  <c r="AN82" i="27" s="1"/>
  <c r="AK83" i="27"/>
  <c r="AN83" i="27" s="1"/>
  <c r="AK84" i="27"/>
  <c r="AN84" i="27" s="1"/>
  <c r="AK85" i="27"/>
  <c r="AK86" i="27"/>
  <c r="AN86" i="27" s="1"/>
  <c r="AK87" i="27"/>
  <c r="AN87" i="27" s="1"/>
  <c r="AK88" i="27"/>
  <c r="AN88" i="27" s="1"/>
  <c r="AK89" i="27"/>
  <c r="AK90" i="27"/>
  <c r="AN90" i="27" s="1"/>
  <c r="AK91" i="27"/>
  <c r="AN91" i="27" s="1"/>
  <c r="AK92" i="27"/>
  <c r="AN92" i="27" s="1"/>
  <c r="AK93" i="27"/>
  <c r="AK94" i="27"/>
  <c r="AN94" i="27" s="1"/>
  <c r="AK95" i="27"/>
  <c r="AN95" i="27" s="1"/>
  <c r="AK96" i="27"/>
  <c r="AN96" i="27" s="1"/>
  <c r="AK97" i="27"/>
  <c r="AK98" i="27"/>
  <c r="AN98" i="27" s="1"/>
  <c r="AK99" i="27"/>
  <c r="AN99" i="27" s="1"/>
  <c r="AK100" i="27"/>
  <c r="AN100" i="27" s="1"/>
  <c r="AK101" i="27"/>
  <c r="AG58" i="27" l="1"/>
  <c r="AJ99" i="27" s="1"/>
  <c r="AD61" i="27"/>
  <c r="AB61" i="27" s="1"/>
  <c r="AB57" i="27"/>
  <c r="AD57" i="27"/>
  <c r="AD84" i="27"/>
  <c r="AB84" i="27" s="1"/>
  <c r="AJ84" i="27" l="1"/>
  <c r="AJ66" i="27"/>
  <c r="AJ98" i="27"/>
  <c r="E10" i="57"/>
  <c r="E19" i="57"/>
  <c r="A222" i="58" a="1"/>
  <c r="A222" i="58" s="1"/>
  <c r="A221" i="58" a="1"/>
  <c r="A221" i="58" s="1"/>
  <c r="A220" i="58" a="1"/>
  <c r="A220" i="58" s="1"/>
  <c r="A219" i="58" a="1"/>
  <c r="A219" i="58" s="1"/>
  <c r="A218" i="58" a="1"/>
  <c r="A218" i="58" s="1"/>
  <c r="A217" i="58" a="1"/>
  <c r="A217" i="58" s="1"/>
  <c r="A216" i="58" a="1"/>
  <c r="A216" i="58" s="1"/>
  <c r="A215" i="58" a="1"/>
  <c r="A215" i="58" s="1"/>
  <c r="A214" i="58" a="1"/>
  <c r="A214" i="58" s="1"/>
  <c r="A213" i="58" a="1"/>
  <c r="A213" i="58" s="1"/>
  <c r="A212" i="58" a="1"/>
  <c r="A212" i="58" s="1"/>
  <c r="A211" i="58" a="1"/>
  <c r="A211" i="58" s="1"/>
  <c r="A210" i="58" a="1"/>
  <c r="A210" i="58" s="1"/>
  <c r="A209" i="58" a="1"/>
  <c r="A209" i="58" s="1"/>
  <c r="A208" i="58" a="1"/>
  <c r="A208" i="58" s="1"/>
  <c r="A207" i="58" a="1"/>
  <c r="A207" i="58" s="1"/>
  <c r="A206" i="58" a="1"/>
  <c r="A206" i="58" s="1"/>
  <c r="A205" i="58" a="1"/>
  <c r="A205" i="58" s="1"/>
  <c r="A204" i="58" a="1"/>
  <c r="A204" i="58" s="1"/>
  <c r="A203" i="58" a="1"/>
  <c r="A203" i="58" s="1"/>
  <c r="A202" i="58" a="1"/>
  <c r="A202" i="58" s="1"/>
  <c r="A201" i="58" a="1"/>
  <c r="A201" i="58" s="1"/>
  <c r="A200" i="58" a="1"/>
  <c r="A200" i="58" s="1"/>
  <c r="A199" i="58" a="1"/>
  <c r="A199" i="58" s="1"/>
  <c r="A198" i="58" a="1"/>
  <c r="A198" i="58" s="1"/>
  <c r="A197" i="58" a="1"/>
  <c r="A197" i="58" s="1"/>
  <c r="A196" i="58" a="1"/>
  <c r="A196" i="58" s="1"/>
  <c r="A195" i="58" a="1"/>
  <c r="A195" i="58" s="1"/>
  <c r="A194" i="58" a="1"/>
  <c r="A194" i="58" s="1"/>
  <c r="A193" i="58" a="1"/>
  <c r="A193" i="58" s="1"/>
  <c r="A192" i="58" a="1"/>
  <c r="A192" i="58" s="1"/>
  <c r="A191" i="58" a="1"/>
  <c r="A191" i="58" s="1"/>
  <c r="A190" i="58" a="1"/>
  <c r="A190" i="58" s="1"/>
  <c r="A189" i="58" a="1"/>
  <c r="A189" i="58" s="1"/>
  <c r="A188" i="58" a="1"/>
  <c r="A188" i="58" s="1"/>
  <c r="A187" i="58" a="1"/>
  <c r="A187" i="58" s="1"/>
  <c r="A186" i="58" a="1"/>
  <c r="A186" i="58" s="1"/>
  <c r="A185" i="58" a="1"/>
  <c r="A185" i="58" s="1"/>
  <c r="A184" i="58" a="1"/>
  <c r="A184" i="58" s="1"/>
  <c r="A183" i="58" a="1"/>
  <c r="A183" i="58" s="1"/>
  <c r="A182" i="58" a="1"/>
  <c r="A182" i="58" s="1"/>
  <c r="A181" i="58" a="1"/>
  <c r="A181" i="58" s="1"/>
  <c r="A180" i="58" a="1"/>
  <c r="A180" i="58" s="1"/>
  <c r="A179" i="58" a="1"/>
  <c r="A179" i="58" s="1"/>
  <c r="A178" i="58" a="1"/>
  <c r="A178" i="58" s="1"/>
  <c r="A177" i="58" a="1"/>
  <c r="A177" i="58" s="1"/>
  <c r="A176" i="58" a="1"/>
  <c r="A176" i="58" s="1"/>
  <c r="A175" i="58" a="1"/>
  <c r="A175" i="58" s="1"/>
  <c r="A174" i="58" a="1"/>
  <c r="A174" i="58" s="1"/>
  <c r="A173" i="58" a="1"/>
  <c r="A173" i="58" s="1"/>
  <c r="A172" i="58" a="1"/>
  <c r="A172" i="58" s="1"/>
  <c r="A171" i="58" a="1"/>
  <c r="A171" i="58" s="1"/>
  <c r="A170" i="58" a="1"/>
  <c r="A170" i="58" s="1"/>
  <c r="A169" i="58" a="1"/>
  <c r="A169" i="58" s="1"/>
  <c r="A168" i="58" a="1"/>
  <c r="A168" i="58" s="1"/>
  <c r="A167" i="58" a="1"/>
  <c r="A167" i="58" s="1"/>
  <c r="A166" i="58" a="1"/>
  <c r="A166" i="58" s="1"/>
  <c r="A165" i="58" a="1"/>
  <c r="A165" i="58" s="1"/>
  <c r="A164" i="58" a="1"/>
  <c r="A164" i="58" s="1"/>
  <c r="A163" i="58" a="1"/>
  <c r="A163" i="58" s="1"/>
  <c r="A162" i="58" a="1"/>
  <c r="A162" i="58" s="1"/>
  <c r="A161" i="58" a="1"/>
  <c r="A161" i="58" s="1"/>
  <c r="A160" i="58" a="1"/>
  <c r="A160" i="58" s="1"/>
  <c r="A159" i="58" a="1"/>
  <c r="A159" i="58" s="1"/>
  <c r="A158" i="58" a="1"/>
  <c r="A158" i="58" s="1"/>
  <c r="A157" i="58" a="1"/>
  <c r="A157" i="58" s="1"/>
  <c r="A156" i="58" a="1"/>
  <c r="A156" i="58" s="1"/>
  <c r="A155" i="58" a="1"/>
  <c r="A155" i="58" s="1"/>
  <c r="A154" i="58" a="1"/>
  <c r="A154" i="58" s="1"/>
  <c r="A153" i="58" a="1"/>
  <c r="A153" i="58" s="1"/>
  <c r="A152" i="58" a="1"/>
  <c r="A152" i="58" s="1"/>
  <c r="A151" i="58" a="1"/>
  <c r="A151" i="58" s="1"/>
  <c r="A150" i="58" a="1"/>
  <c r="A150" i="58" s="1"/>
  <c r="A149" i="58" a="1"/>
  <c r="A149" i="58" s="1"/>
  <c r="A148" i="58" a="1"/>
  <c r="A148" i="58" s="1"/>
  <c r="A147" i="58" a="1"/>
  <c r="A147" i="58" s="1"/>
  <c r="A146" i="58" a="1"/>
  <c r="A146" i="58" s="1"/>
  <c r="A145" i="58" a="1"/>
  <c r="A145" i="58" s="1"/>
  <c r="A144" i="58" a="1"/>
  <c r="A144" i="58" s="1"/>
  <c r="A143" i="58" a="1"/>
  <c r="A143" i="58" s="1"/>
  <c r="A142" i="58" a="1"/>
  <c r="A142" i="58" s="1"/>
  <c r="A141" i="58" a="1"/>
  <c r="A141" i="58" s="1"/>
  <c r="A140" i="58" a="1"/>
  <c r="A140" i="58" s="1"/>
  <c r="A139" i="58" a="1"/>
  <c r="A139" i="58" s="1"/>
  <c r="A138" i="58" a="1"/>
  <c r="A138" i="58" s="1"/>
  <c r="A137" i="58" a="1"/>
  <c r="A137" i="58" s="1"/>
  <c r="A136" i="58" a="1"/>
  <c r="A136" i="58" s="1"/>
  <c r="A135" i="58" a="1"/>
  <c r="A135" i="58" s="1"/>
  <c r="A134" i="58" a="1"/>
  <c r="A134" i="58" s="1"/>
  <c r="A133" i="58" a="1"/>
  <c r="A133" i="58" s="1"/>
  <c r="A132" i="58" a="1"/>
  <c r="A132" i="58" s="1"/>
  <c r="A131" i="58" a="1"/>
  <c r="A131" i="58" s="1"/>
  <c r="A130" i="58" a="1"/>
  <c r="A130" i="58" s="1"/>
  <c r="A129" i="58" a="1"/>
  <c r="A129" i="58" s="1"/>
  <c r="A128" i="58" a="1"/>
  <c r="A128" i="58" s="1"/>
  <c r="A127" i="58" a="1"/>
  <c r="A127" i="58" s="1"/>
  <c r="A126" i="58" a="1"/>
  <c r="A126" i="58" s="1"/>
  <c r="A125" i="58" a="1"/>
  <c r="A125" i="58" s="1"/>
  <c r="A124" i="58" a="1"/>
  <c r="A124" i="58" s="1"/>
  <c r="A123" i="58" a="1"/>
  <c r="A123" i="58" s="1"/>
  <c r="A122" i="58" a="1"/>
  <c r="A122" i="58" s="1"/>
  <c r="A121" i="58" a="1"/>
  <c r="A121" i="58" s="1"/>
  <c r="A120" i="58" a="1"/>
  <c r="A120" i="58" s="1"/>
  <c r="A119" i="58" a="1"/>
  <c r="A119" i="58" s="1"/>
  <c r="A118" i="58" a="1"/>
  <c r="A118" i="58" s="1"/>
  <c r="A117" i="58" a="1"/>
  <c r="A117" i="58" s="1"/>
  <c r="A116" i="58" a="1"/>
  <c r="A116" i="58" s="1"/>
  <c r="A115" i="58" a="1"/>
  <c r="A115" i="58" s="1"/>
  <c r="A114" i="58" a="1"/>
  <c r="A114" i="58" s="1"/>
  <c r="A113" i="58" a="1"/>
  <c r="A113" i="58" s="1"/>
  <c r="A112" i="58" a="1"/>
  <c r="A112" i="58" s="1"/>
  <c r="A111" i="58" a="1"/>
  <c r="A111" i="58" s="1"/>
  <c r="A110" i="58" a="1"/>
  <c r="A110" i="58" s="1"/>
  <c r="A109" i="58" a="1"/>
  <c r="A109" i="58" s="1"/>
  <c r="A108" i="58" a="1"/>
  <c r="A108" i="58" s="1"/>
  <c r="A107" i="58" a="1"/>
  <c r="A107" i="58" s="1"/>
  <c r="A106" i="58" a="1"/>
  <c r="A106" i="58" s="1"/>
  <c r="A105" i="58" a="1"/>
  <c r="A105" i="58" s="1"/>
  <c r="A104" i="58" a="1"/>
  <c r="A104" i="58" s="1"/>
  <c r="A103" i="58" a="1"/>
  <c r="A103" i="58" s="1"/>
  <c r="A102" i="58" a="1"/>
  <c r="A102" i="58" s="1"/>
  <c r="A101" i="58" a="1"/>
  <c r="A101" i="58" s="1"/>
  <c r="A100" i="58" a="1"/>
  <c r="A100" i="58" s="1"/>
  <c r="A99" i="58" a="1"/>
  <c r="A99" i="58" s="1"/>
  <c r="A98" i="58" a="1"/>
  <c r="A98" i="58" s="1"/>
  <c r="A97" i="58" a="1"/>
  <c r="A97" i="58" s="1"/>
  <c r="A96" i="58" a="1"/>
  <c r="A96" i="58" s="1"/>
  <c r="A95" i="58" a="1"/>
  <c r="A95" i="58" s="1"/>
  <c r="A94" i="58" a="1"/>
  <c r="A94" i="58" s="1"/>
  <c r="A93" i="58" a="1"/>
  <c r="A93" i="58" s="1"/>
  <c r="A92" i="58" a="1"/>
  <c r="A92" i="58" s="1"/>
  <c r="A91" i="58" a="1"/>
  <c r="A91" i="58" s="1"/>
  <c r="A90" i="58" a="1"/>
  <c r="A90" i="58" s="1"/>
  <c r="A89" i="58" a="1"/>
  <c r="A89" i="58" s="1"/>
  <c r="A88" i="58" a="1"/>
  <c r="A88" i="58" s="1"/>
  <c r="A87" i="58" a="1"/>
  <c r="A87" i="58" s="1"/>
  <c r="A86" i="58" a="1"/>
  <c r="A86" i="58" s="1"/>
  <c r="A85" i="58" a="1"/>
  <c r="A85" i="58" s="1"/>
  <c r="A84" i="58" a="1"/>
  <c r="A84" i="58" s="1"/>
  <c r="A83" i="58" a="1"/>
  <c r="A83" i="58" s="1"/>
  <c r="F40" i="58"/>
  <c r="F39" i="58"/>
  <c r="F38" i="58"/>
  <c r="F37" i="58"/>
  <c r="F35" i="58"/>
  <c r="F34" i="58"/>
  <c r="F33" i="58"/>
  <c r="F32" i="58"/>
  <c r="F30" i="58"/>
  <c r="J29" i="58"/>
  <c r="F29" i="58"/>
  <c r="J28" i="58"/>
  <c r="F28" i="58"/>
  <c r="J27" i="58"/>
  <c r="F27" i="58"/>
  <c r="J26" i="58"/>
  <c r="F25" i="58"/>
  <c r="F24" i="58"/>
  <c r="F23" i="58"/>
  <c r="F22" i="58"/>
  <c r="F20" i="58"/>
  <c r="F19" i="58"/>
  <c r="F18" i="58"/>
  <c r="F15" i="58"/>
  <c r="F14" i="58"/>
  <c r="F13" i="58"/>
  <c r="B12" i="58"/>
  <c r="A16" i="58" s="1"/>
  <c r="F10" i="58"/>
  <c r="F9" i="58"/>
  <c r="F8" i="58"/>
  <c r="F5" i="58"/>
  <c r="A5" i="58"/>
  <c r="A4" i="58"/>
  <c r="F3" i="58"/>
  <c r="A3" i="58"/>
  <c r="A2" i="58"/>
  <c r="A1" i="58"/>
  <c r="A222" i="57" a="1"/>
  <c r="A222" i="57" s="1"/>
  <c r="A221" i="57" a="1"/>
  <c r="A221" i="57" s="1"/>
  <c r="A220" i="57" a="1"/>
  <c r="A220" i="57" s="1"/>
  <c r="A219" i="57" a="1"/>
  <c r="A219" i="57" s="1"/>
  <c r="A218" i="57" a="1"/>
  <c r="A218" i="57" s="1"/>
  <c r="A217" i="57" a="1"/>
  <c r="A217" i="57" s="1"/>
  <c r="A216" i="57" a="1"/>
  <c r="A216" i="57" s="1"/>
  <c r="A215" i="57" a="1"/>
  <c r="A215" i="57" s="1"/>
  <c r="A214" i="57" a="1"/>
  <c r="A214" i="57" s="1"/>
  <c r="A213" i="57" a="1"/>
  <c r="A213" i="57" s="1"/>
  <c r="A212" i="57" a="1"/>
  <c r="A212" i="57" s="1"/>
  <c r="A211" i="57" a="1"/>
  <c r="A211" i="57" s="1"/>
  <c r="A210" i="57" a="1"/>
  <c r="A210" i="57" s="1"/>
  <c r="A209" i="57" a="1"/>
  <c r="A209" i="57" s="1"/>
  <c r="A208" i="57" a="1"/>
  <c r="A208" i="57" s="1"/>
  <c r="A207" i="57" a="1"/>
  <c r="A207" i="57" s="1"/>
  <c r="A206" i="57" a="1"/>
  <c r="A206" i="57" s="1"/>
  <c r="A205" i="57" a="1"/>
  <c r="A205" i="57" s="1"/>
  <c r="A204" i="57" a="1"/>
  <c r="A204" i="57" s="1"/>
  <c r="A203" i="57" a="1"/>
  <c r="A203" i="57" s="1"/>
  <c r="A202" i="57" a="1"/>
  <c r="A202" i="57" s="1"/>
  <c r="A201" i="57" a="1"/>
  <c r="A201" i="57" s="1"/>
  <c r="A200" i="57" a="1"/>
  <c r="A200" i="57" s="1"/>
  <c r="A199" i="57" a="1"/>
  <c r="A199" i="57" s="1"/>
  <c r="A198" i="57" a="1"/>
  <c r="A198" i="57" s="1"/>
  <c r="A197" i="57" a="1"/>
  <c r="A197" i="57" s="1"/>
  <c r="A196" i="57" a="1"/>
  <c r="A196" i="57" s="1"/>
  <c r="A195" i="57" a="1"/>
  <c r="A195" i="57" s="1"/>
  <c r="A194" i="57" a="1"/>
  <c r="A194" i="57" s="1"/>
  <c r="A193" i="57" a="1"/>
  <c r="A193" i="57" s="1"/>
  <c r="A192" i="57" a="1"/>
  <c r="A192" i="57" s="1"/>
  <c r="A191" i="57" a="1"/>
  <c r="A191" i="57" s="1"/>
  <c r="A190" i="57" a="1"/>
  <c r="A190" i="57" s="1"/>
  <c r="A189" i="57" a="1"/>
  <c r="A189" i="57" s="1"/>
  <c r="A188" i="57" a="1"/>
  <c r="A188" i="57" s="1"/>
  <c r="A187" i="57" a="1"/>
  <c r="A187" i="57" s="1"/>
  <c r="A186" i="57" a="1"/>
  <c r="A186" i="57" s="1"/>
  <c r="A185" i="57" a="1"/>
  <c r="A185" i="57" s="1"/>
  <c r="A184" i="57" a="1"/>
  <c r="A184" i="57" s="1"/>
  <c r="A183" i="57" a="1"/>
  <c r="A183" i="57" s="1"/>
  <c r="A182" i="57" a="1"/>
  <c r="A182" i="57" s="1"/>
  <c r="A181" i="57" a="1"/>
  <c r="A181" i="57" s="1"/>
  <c r="A180" i="57" a="1"/>
  <c r="A180" i="57" s="1"/>
  <c r="A179" i="57" a="1"/>
  <c r="A179" i="57" s="1"/>
  <c r="A178" i="57" a="1"/>
  <c r="A178" i="57" s="1"/>
  <c r="A177" i="57" a="1"/>
  <c r="A177" i="57" s="1"/>
  <c r="A176" i="57" a="1"/>
  <c r="A176" i="57" s="1"/>
  <c r="A175" i="57" a="1"/>
  <c r="A175" i="57" s="1"/>
  <c r="A174" i="57" a="1"/>
  <c r="A174" i="57" s="1"/>
  <c r="A173" i="57" a="1"/>
  <c r="A173" i="57" s="1"/>
  <c r="A172" i="57" a="1"/>
  <c r="A172" i="57" s="1"/>
  <c r="A171" i="57" a="1"/>
  <c r="A171" i="57" s="1"/>
  <c r="A170" i="57" a="1"/>
  <c r="A170" i="57" s="1"/>
  <c r="A169" i="57" a="1"/>
  <c r="A169" i="57" s="1"/>
  <c r="A168" i="57" a="1"/>
  <c r="A168" i="57" s="1"/>
  <c r="A167" i="57" a="1"/>
  <c r="A167" i="57" s="1"/>
  <c r="A166" i="57" a="1"/>
  <c r="A166" i="57" s="1"/>
  <c r="A165" i="57" a="1"/>
  <c r="A165" i="57" s="1"/>
  <c r="A164" i="57" a="1"/>
  <c r="A164" i="57" s="1"/>
  <c r="A163" i="57" a="1"/>
  <c r="A163" i="57" s="1"/>
  <c r="A162" i="57" a="1"/>
  <c r="A162" i="57" s="1"/>
  <c r="A161" i="57" a="1"/>
  <c r="A161" i="57" s="1"/>
  <c r="A160" i="57" a="1"/>
  <c r="A160" i="57" s="1"/>
  <c r="A159" i="57" a="1"/>
  <c r="A159" i="57" s="1"/>
  <c r="A158" i="57" a="1"/>
  <c r="A158" i="57" s="1"/>
  <c r="A157" i="57" a="1"/>
  <c r="A157" i="57" s="1"/>
  <c r="A156" i="57" a="1"/>
  <c r="A156" i="57" s="1"/>
  <c r="A155" i="57" a="1"/>
  <c r="A155" i="57" s="1"/>
  <c r="A154" i="57" a="1"/>
  <c r="A154" i="57" s="1"/>
  <c r="A153" i="57" a="1"/>
  <c r="A153" i="57" s="1"/>
  <c r="A152" i="57" a="1"/>
  <c r="A152" i="57" s="1"/>
  <c r="A151" i="57" a="1"/>
  <c r="A151" i="57" s="1"/>
  <c r="A150" i="57" a="1"/>
  <c r="A150" i="57" s="1"/>
  <c r="A149" i="57" a="1"/>
  <c r="A149" i="57" s="1"/>
  <c r="A148" i="57" a="1"/>
  <c r="A148" i="57" s="1"/>
  <c r="A147" i="57" a="1"/>
  <c r="A147" i="57" s="1"/>
  <c r="A146" i="57" a="1"/>
  <c r="A146" i="57" s="1"/>
  <c r="A145" i="57" a="1"/>
  <c r="A145" i="57" s="1"/>
  <c r="A144" i="57" a="1"/>
  <c r="A144" i="57" s="1"/>
  <c r="A143" i="57" a="1"/>
  <c r="A143" i="57" s="1"/>
  <c r="A142" i="57" a="1"/>
  <c r="A142" i="57" s="1"/>
  <c r="A141" i="57" a="1"/>
  <c r="A141" i="57" s="1"/>
  <c r="A140" i="57" a="1"/>
  <c r="A140" i="57" s="1"/>
  <c r="A139" i="57" a="1"/>
  <c r="A139" i="57" s="1"/>
  <c r="A138" i="57" a="1"/>
  <c r="A138" i="57" s="1"/>
  <c r="A137" i="57" a="1"/>
  <c r="A137" i="57" s="1"/>
  <c r="A136" i="57" a="1"/>
  <c r="A136" i="57" s="1"/>
  <c r="A135" i="57" a="1"/>
  <c r="A135" i="57" s="1"/>
  <c r="A134" i="57" a="1"/>
  <c r="A134" i="57" s="1"/>
  <c r="A133" i="57" a="1"/>
  <c r="A133" i="57" s="1"/>
  <c r="A132" i="57" a="1"/>
  <c r="A132" i="57" s="1"/>
  <c r="A131" i="57" a="1"/>
  <c r="A131" i="57" s="1"/>
  <c r="A130" i="57" a="1"/>
  <c r="A130" i="57" s="1"/>
  <c r="A129" i="57" a="1"/>
  <c r="A129" i="57" s="1"/>
  <c r="A128" i="57" a="1"/>
  <c r="A128" i="57" s="1"/>
  <c r="A127" i="57" a="1"/>
  <c r="A127" i="57" s="1"/>
  <c r="A126" i="57" a="1"/>
  <c r="A126" i="57" s="1"/>
  <c r="A125" i="57" a="1"/>
  <c r="A125" i="57" s="1"/>
  <c r="A124" i="57" a="1"/>
  <c r="A124" i="57" s="1"/>
  <c r="A123" i="57" a="1"/>
  <c r="A123" i="57" s="1"/>
  <c r="A122" i="57" a="1"/>
  <c r="A122" i="57" s="1"/>
  <c r="A121" i="57" a="1"/>
  <c r="A121" i="57" s="1"/>
  <c r="A120" i="57" a="1"/>
  <c r="A120" i="57" s="1"/>
  <c r="A119" i="57" a="1"/>
  <c r="A119" i="57" s="1"/>
  <c r="A118" i="57" a="1"/>
  <c r="A118" i="57" s="1"/>
  <c r="A117" i="57" a="1"/>
  <c r="A117" i="57" s="1"/>
  <c r="A116" i="57" a="1"/>
  <c r="A116" i="57" s="1"/>
  <c r="A115" i="57" a="1"/>
  <c r="A115" i="57" s="1"/>
  <c r="A114" i="57" a="1"/>
  <c r="A114" i="57" s="1"/>
  <c r="A113" i="57" a="1"/>
  <c r="A113" i="57" s="1"/>
  <c r="A112" i="57" a="1"/>
  <c r="A112" i="57" s="1"/>
  <c r="A111" i="57" a="1"/>
  <c r="A111" i="57" s="1"/>
  <c r="A110" i="57" a="1"/>
  <c r="A110" i="57" s="1"/>
  <c r="A109" i="57" a="1"/>
  <c r="A109" i="57" s="1"/>
  <c r="A108" i="57" a="1"/>
  <c r="A108" i="57" s="1"/>
  <c r="A107" i="57" a="1"/>
  <c r="A107" i="57" s="1"/>
  <c r="A106" i="57" a="1"/>
  <c r="A106" i="57" s="1"/>
  <c r="A105" i="57" a="1"/>
  <c r="A105" i="57" s="1"/>
  <c r="A104" i="57" a="1"/>
  <c r="A104" i="57" s="1"/>
  <c r="A103" i="57" a="1"/>
  <c r="A103" i="57" s="1"/>
  <c r="A102" i="57" a="1"/>
  <c r="A102" i="57" s="1"/>
  <c r="A101" i="57" a="1"/>
  <c r="A101" i="57" s="1"/>
  <c r="A100" i="57" a="1"/>
  <c r="A100" i="57" s="1"/>
  <c r="A99" i="57" a="1"/>
  <c r="A99" i="57" s="1"/>
  <c r="A98" i="57" a="1"/>
  <c r="A98" i="57" s="1"/>
  <c r="A97" i="57" a="1"/>
  <c r="A97" i="57" s="1"/>
  <c r="A96" i="57" a="1"/>
  <c r="A96" i="57" s="1"/>
  <c r="A95" i="57" a="1"/>
  <c r="A95" i="57" s="1"/>
  <c r="A94" i="57" a="1"/>
  <c r="A94" i="57" s="1"/>
  <c r="A93" i="57" a="1"/>
  <c r="A93" i="57" s="1"/>
  <c r="A92" i="57" a="1"/>
  <c r="A92" i="57" s="1"/>
  <c r="A91" i="57" a="1"/>
  <c r="A91" i="57" s="1"/>
  <c r="A90" i="57" a="1"/>
  <c r="A90" i="57" s="1"/>
  <c r="A89" i="57" a="1"/>
  <c r="A89" i="57" s="1"/>
  <c r="A88" i="57" a="1"/>
  <c r="A88" i="57" s="1"/>
  <c r="A87" i="57" a="1"/>
  <c r="A87" i="57" s="1"/>
  <c r="A86" i="57" a="1"/>
  <c r="A86" i="57" s="1"/>
  <c r="A85" i="57" a="1"/>
  <c r="A85" i="57" s="1"/>
  <c r="A84" i="57" a="1"/>
  <c r="A84" i="57" s="1"/>
  <c r="A83" i="57" a="1"/>
  <c r="A83" i="57" s="1"/>
  <c r="E31" i="57"/>
  <c r="E30" i="57"/>
  <c r="E29" i="57"/>
  <c r="E28" i="57"/>
  <c r="B12" i="57"/>
  <c r="A16" i="57" s="1"/>
  <c r="A5" i="57"/>
  <c r="A4" i="57"/>
  <c r="A3" i="57"/>
  <c r="A2" i="57"/>
  <c r="A1" i="57"/>
  <c r="A222" i="56" a="1"/>
  <c r="A222" i="56" s="1"/>
  <c r="A221" i="56" a="1"/>
  <c r="A221" i="56" s="1"/>
  <c r="A220" i="56" a="1"/>
  <c r="A220" i="56" s="1"/>
  <c r="A219" i="56" a="1"/>
  <c r="A219" i="56" s="1"/>
  <c r="A218" i="56" a="1"/>
  <c r="A218" i="56" s="1"/>
  <c r="A217" i="56" a="1"/>
  <c r="A217" i="56" s="1"/>
  <c r="A216" i="56" a="1"/>
  <c r="A216" i="56" s="1"/>
  <c r="A215" i="56" a="1"/>
  <c r="A215" i="56" s="1"/>
  <c r="A214" i="56" a="1"/>
  <c r="A214" i="56" s="1"/>
  <c r="A213" i="56" a="1"/>
  <c r="A213" i="56" s="1"/>
  <c r="A212" i="56" a="1"/>
  <c r="A212" i="56" s="1"/>
  <c r="A211" i="56" a="1"/>
  <c r="A211" i="56" s="1"/>
  <c r="A210" i="56" a="1"/>
  <c r="A210" i="56" s="1"/>
  <c r="A209" i="56" a="1"/>
  <c r="A209" i="56" s="1"/>
  <c r="A208" i="56" a="1"/>
  <c r="A208" i="56" s="1"/>
  <c r="A207" i="56" a="1"/>
  <c r="A207" i="56" s="1"/>
  <c r="A206" i="56" a="1"/>
  <c r="A206" i="56" s="1"/>
  <c r="A205" i="56" a="1"/>
  <c r="A205" i="56" s="1"/>
  <c r="A204" i="56" a="1"/>
  <c r="A204" i="56" s="1"/>
  <c r="A203" i="56" a="1"/>
  <c r="A203" i="56" s="1"/>
  <c r="A202" i="56" a="1"/>
  <c r="A202" i="56" s="1"/>
  <c r="A201" i="56" a="1"/>
  <c r="A201" i="56" s="1"/>
  <c r="A200" i="56" a="1"/>
  <c r="A200" i="56" s="1"/>
  <c r="A199" i="56" a="1"/>
  <c r="A199" i="56" s="1"/>
  <c r="A198" i="56" a="1"/>
  <c r="A198" i="56" s="1"/>
  <c r="A197" i="56" a="1"/>
  <c r="A197" i="56" s="1"/>
  <c r="A196" i="56" a="1"/>
  <c r="A196" i="56" s="1"/>
  <c r="A195" i="56" a="1"/>
  <c r="A195" i="56" s="1"/>
  <c r="A194" i="56" a="1"/>
  <c r="A194" i="56" s="1"/>
  <c r="A193" i="56" a="1"/>
  <c r="A193" i="56" s="1"/>
  <c r="A192" i="56" a="1"/>
  <c r="A192" i="56" s="1"/>
  <c r="A191" i="56" a="1"/>
  <c r="A191" i="56" s="1"/>
  <c r="A190" i="56" a="1"/>
  <c r="A190" i="56" s="1"/>
  <c r="A189" i="56" a="1"/>
  <c r="A189" i="56" s="1"/>
  <c r="A188" i="56" a="1"/>
  <c r="A188" i="56" s="1"/>
  <c r="A187" i="56" a="1"/>
  <c r="A187" i="56" s="1"/>
  <c r="A186" i="56" a="1"/>
  <c r="A186" i="56" s="1"/>
  <c r="A185" i="56" a="1"/>
  <c r="A185" i="56" s="1"/>
  <c r="A184" i="56" a="1"/>
  <c r="A184" i="56" s="1"/>
  <c r="A183" i="56" a="1"/>
  <c r="A183" i="56" s="1"/>
  <c r="A182" i="56" a="1"/>
  <c r="A182" i="56" s="1"/>
  <c r="A181" i="56" a="1"/>
  <c r="A181" i="56" s="1"/>
  <c r="A180" i="56" a="1"/>
  <c r="A180" i="56" s="1"/>
  <c r="A179" i="56" a="1"/>
  <c r="A179" i="56" s="1"/>
  <c r="A178" i="56" a="1"/>
  <c r="A178" i="56" s="1"/>
  <c r="A177" i="56" a="1"/>
  <c r="A177" i="56" s="1"/>
  <c r="A176" i="56" a="1"/>
  <c r="A176" i="56" s="1"/>
  <c r="A175" i="56" a="1"/>
  <c r="A175" i="56" s="1"/>
  <c r="A174" i="56" a="1"/>
  <c r="A174" i="56" s="1"/>
  <c r="A173" i="56" a="1"/>
  <c r="A173" i="56" s="1"/>
  <c r="A172" i="56" a="1"/>
  <c r="A172" i="56" s="1"/>
  <c r="A171" i="56" a="1"/>
  <c r="A171" i="56" s="1"/>
  <c r="A170" i="56" a="1"/>
  <c r="A170" i="56" s="1"/>
  <c r="A169" i="56" a="1"/>
  <c r="A169" i="56" s="1"/>
  <c r="A168" i="56" a="1"/>
  <c r="A168" i="56" s="1"/>
  <c r="A167" i="56" a="1"/>
  <c r="A167" i="56" s="1"/>
  <c r="A166" i="56" a="1"/>
  <c r="A166" i="56" s="1"/>
  <c r="A165" i="56" a="1"/>
  <c r="A165" i="56" s="1"/>
  <c r="A164" i="56" a="1"/>
  <c r="A164" i="56" s="1"/>
  <c r="A163" i="56" a="1"/>
  <c r="A163" i="56" s="1"/>
  <c r="A162" i="56" a="1"/>
  <c r="A162" i="56" s="1"/>
  <c r="A161" i="56" a="1"/>
  <c r="A161" i="56" s="1"/>
  <c r="A160" i="56" a="1"/>
  <c r="A160" i="56" s="1"/>
  <c r="A159" i="56" a="1"/>
  <c r="A159" i="56" s="1"/>
  <c r="A158" i="56" a="1"/>
  <c r="A158" i="56" s="1"/>
  <c r="A157" i="56" a="1"/>
  <c r="A157" i="56" s="1"/>
  <c r="A156" i="56" a="1"/>
  <c r="A156" i="56" s="1"/>
  <c r="A155" i="56" a="1"/>
  <c r="A155" i="56" s="1"/>
  <c r="A154" i="56" a="1"/>
  <c r="A154" i="56" s="1"/>
  <c r="A153" i="56" a="1"/>
  <c r="A153" i="56" s="1"/>
  <c r="A152" i="56" a="1"/>
  <c r="A152" i="56" s="1"/>
  <c r="A151" i="56" a="1"/>
  <c r="A151" i="56" s="1"/>
  <c r="A150" i="56" a="1"/>
  <c r="A150" i="56" s="1"/>
  <c r="A149" i="56" a="1"/>
  <c r="A149" i="56" s="1"/>
  <c r="A148" i="56" a="1"/>
  <c r="A148" i="56" s="1"/>
  <c r="A147" i="56" a="1"/>
  <c r="A147" i="56" s="1"/>
  <c r="A146" i="56" a="1"/>
  <c r="A146" i="56" s="1"/>
  <c r="A145" i="56" a="1"/>
  <c r="A145" i="56" s="1"/>
  <c r="A144" i="56" a="1"/>
  <c r="A144" i="56" s="1"/>
  <c r="A143" i="56" a="1"/>
  <c r="A143" i="56" s="1"/>
  <c r="A142" i="56" a="1"/>
  <c r="A142" i="56" s="1"/>
  <c r="A141" i="56" a="1"/>
  <c r="A141" i="56" s="1"/>
  <c r="A140" i="56" a="1"/>
  <c r="A140" i="56" s="1"/>
  <c r="A139" i="56" a="1"/>
  <c r="A139" i="56" s="1"/>
  <c r="A138" i="56" a="1"/>
  <c r="A138" i="56" s="1"/>
  <c r="A137" i="56" a="1"/>
  <c r="A137" i="56" s="1"/>
  <c r="A136" i="56" a="1"/>
  <c r="A136" i="56" s="1"/>
  <c r="A135" i="56" a="1"/>
  <c r="A135" i="56" s="1"/>
  <c r="A134" i="56" a="1"/>
  <c r="A134" i="56" s="1"/>
  <c r="A133" i="56" a="1"/>
  <c r="A133" i="56" s="1"/>
  <c r="A132" i="56" a="1"/>
  <c r="A132" i="56" s="1"/>
  <c r="A131" i="56" a="1"/>
  <c r="A131" i="56" s="1"/>
  <c r="A130" i="56" a="1"/>
  <c r="A130" i="56" s="1"/>
  <c r="A129" i="56" a="1"/>
  <c r="A129" i="56" s="1"/>
  <c r="A128" i="56" a="1"/>
  <c r="A128" i="56" s="1"/>
  <c r="A127" i="56" a="1"/>
  <c r="A127" i="56" s="1"/>
  <c r="A126" i="56" a="1"/>
  <c r="A126" i="56" s="1"/>
  <c r="A125" i="56" a="1"/>
  <c r="A125" i="56" s="1"/>
  <c r="A124" i="56" a="1"/>
  <c r="A124" i="56" s="1"/>
  <c r="A123" i="56" a="1"/>
  <c r="A123" i="56" s="1"/>
  <c r="A122" i="56" a="1"/>
  <c r="A122" i="56" s="1"/>
  <c r="A121" i="56" a="1"/>
  <c r="A121" i="56" s="1"/>
  <c r="A120" i="56" a="1"/>
  <c r="A120" i="56" s="1"/>
  <c r="A119" i="56" a="1"/>
  <c r="A119" i="56" s="1"/>
  <c r="A118" i="56" a="1"/>
  <c r="A118" i="56" s="1"/>
  <c r="A117" i="56" a="1"/>
  <c r="A117" i="56" s="1"/>
  <c r="A116" i="56" a="1"/>
  <c r="A116" i="56" s="1"/>
  <c r="A115" i="56" a="1"/>
  <c r="A115" i="56" s="1"/>
  <c r="A114" i="56" a="1"/>
  <c r="A114" i="56" s="1"/>
  <c r="A113" i="56" a="1"/>
  <c r="A113" i="56" s="1"/>
  <c r="A112" i="56" a="1"/>
  <c r="A112" i="56" s="1"/>
  <c r="A111" i="56" a="1"/>
  <c r="A111" i="56" s="1"/>
  <c r="A110" i="56" a="1"/>
  <c r="A110" i="56" s="1"/>
  <c r="A109" i="56" a="1"/>
  <c r="A109" i="56" s="1"/>
  <c r="A108" i="56" a="1"/>
  <c r="A108" i="56" s="1"/>
  <c r="A107" i="56" a="1"/>
  <c r="A107" i="56" s="1"/>
  <c r="A106" i="56" a="1"/>
  <c r="A106" i="56" s="1"/>
  <c r="A105" i="56" a="1"/>
  <c r="A105" i="56" s="1"/>
  <c r="A104" i="56" a="1"/>
  <c r="A104" i="56" s="1"/>
  <c r="A103" i="56" a="1"/>
  <c r="A103" i="56" s="1"/>
  <c r="A102" i="56" a="1"/>
  <c r="A102" i="56" s="1"/>
  <c r="A101" i="56" a="1"/>
  <c r="A101" i="56" s="1"/>
  <c r="A100" i="56" a="1"/>
  <c r="A100" i="56" s="1"/>
  <c r="A99" i="56" a="1"/>
  <c r="A99" i="56" s="1"/>
  <c r="A98" i="56" a="1"/>
  <c r="A98" i="56" s="1"/>
  <c r="A97" i="56" a="1"/>
  <c r="A97" i="56" s="1"/>
  <c r="A96" i="56" a="1"/>
  <c r="A96" i="56" s="1"/>
  <c r="A95" i="56" a="1"/>
  <c r="A95" i="56" s="1"/>
  <c r="A94" i="56" a="1"/>
  <c r="A94" i="56" s="1"/>
  <c r="A93" i="56" a="1"/>
  <c r="A93" i="56" s="1"/>
  <c r="A92" i="56" a="1"/>
  <c r="A92" i="56" s="1"/>
  <c r="A91" i="56" a="1"/>
  <c r="A91" i="56" s="1"/>
  <c r="A90" i="56" a="1"/>
  <c r="A90" i="56" s="1"/>
  <c r="A89" i="56" a="1"/>
  <c r="A89" i="56" s="1"/>
  <c r="A88" i="56" a="1"/>
  <c r="A88" i="56" s="1"/>
  <c r="A87" i="56" a="1"/>
  <c r="A87" i="56" s="1"/>
  <c r="A86" i="56" a="1"/>
  <c r="A86" i="56" s="1"/>
  <c r="A85" i="56" a="1"/>
  <c r="A85" i="56" s="1"/>
  <c r="A84" i="56" a="1"/>
  <c r="A84" i="56" s="1"/>
  <c r="A83" i="56" a="1"/>
  <c r="A83" i="56" s="1"/>
  <c r="F40" i="56"/>
  <c r="F38" i="56"/>
  <c r="F35" i="56"/>
  <c r="F34" i="56"/>
  <c r="F33" i="56"/>
  <c r="F32" i="56"/>
  <c r="F30" i="56"/>
  <c r="J29" i="56"/>
  <c r="F29" i="56"/>
  <c r="J28" i="56"/>
  <c r="F28" i="56"/>
  <c r="J27" i="56"/>
  <c r="F27" i="56"/>
  <c r="J26" i="56"/>
  <c r="F25" i="56"/>
  <c r="F24" i="56"/>
  <c r="F22" i="56"/>
  <c r="F19" i="56"/>
  <c r="F18" i="56"/>
  <c r="J16" i="56"/>
  <c r="J15" i="56"/>
  <c r="J14" i="56"/>
  <c r="J13" i="56"/>
  <c r="F13" i="56"/>
  <c r="J12" i="56"/>
  <c r="B12" i="56"/>
  <c r="A16" i="56" s="1"/>
  <c r="J11" i="56"/>
  <c r="J9" i="56"/>
  <c r="J8" i="56"/>
  <c r="A5" i="56"/>
  <c r="A4" i="56"/>
  <c r="A3" i="56"/>
  <c r="A2" i="56"/>
  <c r="A1" i="56"/>
  <c r="A222" i="55" a="1"/>
  <c r="A222" i="55" s="1"/>
  <c r="A221" i="55" a="1"/>
  <c r="A221" i="55" s="1"/>
  <c r="A220" i="55" a="1"/>
  <c r="A220" i="55" s="1"/>
  <c r="A219" i="55" a="1"/>
  <c r="A219" i="55" s="1"/>
  <c r="A218" i="55" a="1"/>
  <c r="A218" i="55" s="1"/>
  <c r="A217" i="55" a="1"/>
  <c r="A217" i="55" s="1"/>
  <c r="A216" i="55" a="1"/>
  <c r="A216" i="55" s="1"/>
  <c r="A215" i="55" a="1"/>
  <c r="A215" i="55" s="1"/>
  <c r="A214" i="55" a="1"/>
  <c r="A214" i="55" s="1"/>
  <c r="A213" i="55" a="1"/>
  <c r="A213" i="55" s="1"/>
  <c r="A212" i="55" a="1"/>
  <c r="A212" i="55" s="1"/>
  <c r="A211" i="55" a="1"/>
  <c r="A211" i="55" s="1"/>
  <c r="A210" i="55" a="1"/>
  <c r="A210" i="55" s="1"/>
  <c r="A209" i="55" a="1"/>
  <c r="A209" i="55" s="1"/>
  <c r="A208" i="55" a="1"/>
  <c r="A208" i="55" s="1"/>
  <c r="A207" i="55" a="1"/>
  <c r="A207" i="55" s="1"/>
  <c r="A206" i="55" a="1"/>
  <c r="A206" i="55" s="1"/>
  <c r="A205" i="55" a="1"/>
  <c r="A205" i="55" s="1"/>
  <c r="A204" i="55" a="1"/>
  <c r="A204" i="55" s="1"/>
  <c r="A203" i="55" a="1"/>
  <c r="A203" i="55" s="1"/>
  <c r="A202" i="55" a="1"/>
  <c r="A202" i="55" s="1"/>
  <c r="A201" i="55" a="1"/>
  <c r="A201" i="55" s="1"/>
  <c r="A200" i="55" a="1"/>
  <c r="A200" i="55" s="1"/>
  <c r="A199" i="55" a="1"/>
  <c r="A199" i="55" s="1"/>
  <c r="A198" i="55" a="1"/>
  <c r="A198" i="55" s="1"/>
  <c r="A197" i="55" a="1"/>
  <c r="A197" i="55" s="1"/>
  <c r="A196" i="55" a="1"/>
  <c r="A196" i="55" s="1"/>
  <c r="A195" i="55" a="1"/>
  <c r="A195" i="55" s="1"/>
  <c r="A194" i="55" a="1"/>
  <c r="A194" i="55" s="1"/>
  <c r="A193" i="55" a="1"/>
  <c r="A193" i="55" s="1"/>
  <c r="A192" i="55" a="1"/>
  <c r="A192" i="55" s="1"/>
  <c r="A191" i="55" a="1"/>
  <c r="A191" i="55" s="1"/>
  <c r="A190" i="55" a="1"/>
  <c r="A190" i="55" s="1"/>
  <c r="A189" i="55" a="1"/>
  <c r="A189" i="55" s="1"/>
  <c r="A188" i="55" a="1"/>
  <c r="A188" i="55" s="1"/>
  <c r="A187" i="55" a="1"/>
  <c r="A187" i="55" s="1"/>
  <c r="A186" i="55" a="1"/>
  <c r="A186" i="55" s="1"/>
  <c r="A185" i="55" a="1"/>
  <c r="A185" i="55" s="1"/>
  <c r="A184" i="55" a="1"/>
  <c r="A184" i="55" s="1"/>
  <c r="A183" i="55" a="1"/>
  <c r="A183" i="55" s="1"/>
  <c r="A182" i="55" a="1"/>
  <c r="A182" i="55" s="1"/>
  <c r="A181" i="55" a="1"/>
  <c r="A181" i="55" s="1"/>
  <c r="A180" i="55" a="1"/>
  <c r="A180" i="55" s="1"/>
  <c r="A179" i="55" a="1"/>
  <c r="A179" i="55" s="1"/>
  <c r="A178" i="55" a="1"/>
  <c r="A178" i="55" s="1"/>
  <c r="A177" i="55" a="1"/>
  <c r="A177" i="55" s="1"/>
  <c r="A176" i="55" a="1"/>
  <c r="A176" i="55" s="1"/>
  <c r="A175" i="55" a="1"/>
  <c r="A175" i="55" s="1"/>
  <c r="A174" i="55" a="1"/>
  <c r="A174" i="55" s="1"/>
  <c r="A173" i="55" a="1"/>
  <c r="A173" i="55" s="1"/>
  <c r="A172" i="55" a="1"/>
  <c r="A172" i="55" s="1"/>
  <c r="A171" i="55" a="1"/>
  <c r="A171" i="55" s="1"/>
  <c r="A170" i="55" a="1"/>
  <c r="A170" i="55" s="1"/>
  <c r="A169" i="55" a="1"/>
  <c r="A169" i="55" s="1"/>
  <c r="A168" i="55" a="1"/>
  <c r="A168" i="55" s="1"/>
  <c r="A167" i="55" a="1"/>
  <c r="A167" i="55" s="1"/>
  <c r="A166" i="55" a="1"/>
  <c r="A166" i="55" s="1"/>
  <c r="A165" i="55" a="1"/>
  <c r="A165" i="55" s="1"/>
  <c r="A164" i="55" a="1"/>
  <c r="A164" i="55" s="1"/>
  <c r="A163" i="55" a="1"/>
  <c r="A163" i="55" s="1"/>
  <c r="A162" i="55" a="1"/>
  <c r="A162" i="55" s="1"/>
  <c r="A161" i="55" a="1"/>
  <c r="A161" i="55" s="1"/>
  <c r="A160" i="55" a="1"/>
  <c r="A160" i="55" s="1"/>
  <c r="A159" i="55" a="1"/>
  <c r="A159" i="55" s="1"/>
  <c r="A158" i="55" a="1"/>
  <c r="A158" i="55" s="1"/>
  <c r="A157" i="55" a="1"/>
  <c r="A157" i="55" s="1"/>
  <c r="A156" i="55" a="1"/>
  <c r="A156" i="55" s="1"/>
  <c r="A155" i="55" a="1"/>
  <c r="A155" i="55" s="1"/>
  <c r="A154" i="55" a="1"/>
  <c r="A154" i="55" s="1"/>
  <c r="A153" i="55" a="1"/>
  <c r="A153" i="55" s="1"/>
  <c r="A152" i="55" a="1"/>
  <c r="A152" i="55" s="1"/>
  <c r="A151" i="55" a="1"/>
  <c r="A151" i="55" s="1"/>
  <c r="A150" i="55" a="1"/>
  <c r="A150" i="55" s="1"/>
  <c r="A149" i="55" a="1"/>
  <c r="A149" i="55" s="1"/>
  <c r="A148" i="55" a="1"/>
  <c r="A148" i="55" s="1"/>
  <c r="A147" i="55" a="1"/>
  <c r="A147" i="55" s="1"/>
  <c r="A146" i="55" a="1"/>
  <c r="A146" i="55" s="1"/>
  <c r="A145" i="55" a="1"/>
  <c r="A145" i="55" s="1"/>
  <c r="A144" i="55" a="1"/>
  <c r="A144" i="55" s="1"/>
  <c r="A143" i="55" a="1"/>
  <c r="A143" i="55" s="1"/>
  <c r="A142" i="55" a="1"/>
  <c r="A142" i="55" s="1"/>
  <c r="A141" i="55" a="1"/>
  <c r="A141" i="55" s="1"/>
  <c r="A140" i="55" a="1"/>
  <c r="A140" i="55" s="1"/>
  <c r="A139" i="55" a="1"/>
  <c r="A139" i="55" s="1"/>
  <c r="A138" i="55" a="1"/>
  <c r="A138" i="55" s="1"/>
  <c r="A137" i="55" a="1"/>
  <c r="A137" i="55" s="1"/>
  <c r="A136" i="55" a="1"/>
  <c r="A136" i="55" s="1"/>
  <c r="A135" i="55" a="1"/>
  <c r="A135" i="55" s="1"/>
  <c r="A134" i="55" a="1"/>
  <c r="A134" i="55" s="1"/>
  <c r="A133" i="55" a="1"/>
  <c r="A133" i="55" s="1"/>
  <c r="A132" i="55" a="1"/>
  <c r="A132" i="55" s="1"/>
  <c r="A131" i="55" a="1"/>
  <c r="A131" i="55" s="1"/>
  <c r="A130" i="55" a="1"/>
  <c r="A130" i="55" s="1"/>
  <c r="A129" i="55" a="1"/>
  <c r="A129" i="55" s="1"/>
  <c r="A128" i="55" a="1"/>
  <c r="A128" i="55" s="1"/>
  <c r="A127" i="55" a="1"/>
  <c r="A127" i="55" s="1"/>
  <c r="A126" i="55" a="1"/>
  <c r="A126" i="55" s="1"/>
  <c r="A125" i="55" a="1"/>
  <c r="A125" i="55" s="1"/>
  <c r="A124" i="55" a="1"/>
  <c r="A124" i="55" s="1"/>
  <c r="A123" i="55" a="1"/>
  <c r="A123" i="55" s="1"/>
  <c r="A122" i="55" a="1"/>
  <c r="A122" i="55" s="1"/>
  <c r="A121" i="55" a="1"/>
  <c r="A121" i="55" s="1"/>
  <c r="A120" i="55" a="1"/>
  <c r="A120" i="55" s="1"/>
  <c r="A119" i="55" a="1"/>
  <c r="A119" i="55" s="1"/>
  <c r="A118" i="55" a="1"/>
  <c r="A118" i="55" s="1"/>
  <c r="A117" i="55" a="1"/>
  <c r="A117" i="55" s="1"/>
  <c r="A116" i="55" a="1"/>
  <c r="A116" i="55" s="1"/>
  <c r="A115" i="55" a="1"/>
  <c r="A115" i="55" s="1"/>
  <c r="A114" i="55" a="1"/>
  <c r="A114" i="55" s="1"/>
  <c r="A113" i="55" a="1"/>
  <c r="A113" i="55" s="1"/>
  <c r="A112" i="55" a="1"/>
  <c r="A112" i="55" s="1"/>
  <c r="A111" i="55" a="1"/>
  <c r="A111" i="55" s="1"/>
  <c r="A110" i="55" a="1"/>
  <c r="A110" i="55" s="1"/>
  <c r="A109" i="55" a="1"/>
  <c r="A109" i="55" s="1"/>
  <c r="A108" i="55" a="1"/>
  <c r="A108" i="55" s="1"/>
  <c r="A107" i="55" a="1"/>
  <c r="A107" i="55" s="1"/>
  <c r="A106" i="55" a="1"/>
  <c r="A106" i="55" s="1"/>
  <c r="A105" i="55" a="1"/>
  <c r="A105" i="55" s="1"/>
  <c r="A104" i="55" a="1"/>
  <c r="A104" i="55" s="1"/>
  <c r="A103" i="55" a="1"/>
  <c r="A103" i="55" s="1"/>
  <c r="A102" i="55" a="1"/>
  <c r="A102" i="55" s="1"/>
  <c r="A101" i="55" a="1"/>
  <c r="A101" i="55" s="1"/>
  <c r="A100" i="55" a="1"/>
  <c r="A100" i="55" s="1"/>
  <c r="A99" i="55" a="1"/>
  <c r="A99" i="55" s="1"/>
  <c r="A98" i="55" a="1"/>
  <c r="A98" i="55" s="1"/>
  <c r="A97" i="55" a="1"/>
  <c r="A97" i="55" s="1"/>
  <c r="A96" i="55" a="1"/>
  <c r="A96" i="55" s="1"/>
  <c r="A95" i="55" a="1"/>
  <c r="A95" i="55" s="1"/>
  <c r="A94" i="55" a="1"/>
  <c r="A94" i="55" s="1"/>
  <c r="A93" i="55" a="1"/>
  <c r="A93" i="55" s="1"/>
  <c r="A92" i="55" a="1"/>
  <c r="A92" i="55" s="1"/>
  <c r="A91" i="55" a="1"/>
  <c r="A91" i="55" s="1"/>
  <c r="A90" i="55" a="1"/>
  <c r="A90" i="55" s="1"/>
  <c r="A89" i="55" a="1"/>
  <c r="A89" i="55" s="1"/>
  <c r="A88" i="55" a="1"/>
  <c r="A88" i="55" s="1"/>
  <c r="A87" i="55" a="1"/>
  <c r="A87" i="55" s="1"/>
  <c r="A86" i="55" a="1"/>
  <c r="A86" i="55" s="1"/>
  <c r="A85" i="55" a="1"/>
  <c r="A85" i="55" s="1"/>
  <c r="A84" i="55" a="1"/>
  <c r="A84" i="55" s="1"/>
  <c r="A83" i="55" a="1"/>
  <c r="A83" i="55" s="1"/>
  <c r="F40" i="55"/>
  <c r="F39" i="55"/>
  <c r="F38" i="55"/>
  <c r="F37" i="55"/>
  <c r="F35" i="55"/>
  <c r="F34" i="55"/>
  <c r="F33" i="55"/>
  <c r="F32" i="55"/>
  <c r="F30" i="55"/>
  <c r="J29" i="55"/>
  <c r="F29" i="55"/>
  <c r="J28" i="55"/>
  <c r="F28" i="55"/>
  <c r="J27" i="55"/>
  <c r="J26" i="55"/>
  <c r="F25" i="55"/>
  <c r="F23" i="55"/>
  <c r="F18" i="55"/>
  <c r="B12" i="55"/>
  <c r="A16" i="55" s="1"/>
  <c r="A5" i="55"/>
  <c r="A4" i="55"/>
  <c r="A3" i="55"/>
  <c r="A2" i="55"/>
  <c r="A1" i="55"/>
  <c r="A16" i="25"/>
  <c r="C1016" i="37"/>
  <c r="C1017" i="37"/>
  <c r="C990" i="37"/>
  <c r="C991" i="37"/>
  <c r="C920" i="37"/>
  <c r="C858" i="37"/>
  <c r="C859" i="37"/>
  <c r="C832" i="37"/>
  <c r="C833" i="37"/>
  <c r="C744" i="37"/>
  <c r="C675" i="37"/>
  <c r="C676" i="37"/>
  <c r="C649" i="37"/>
  <c r="C650" i="37"/>
  <c r="C563" i="37"/>
  <c r="C488" i="37"/>
  <c r="C489" i="37"/>
  <c r="C462" i="37"/>
  <c r="C463" i="37"/>
  <c r="C379" i="37"/>
  <c r="C306" i="37"/>
  <c r="C307" i="37"/>
  <c r="C280" i="37"/>
  <c r="C281" i="37"/>
  <c r="C193" i="37"/>
  <c r="C124" i="37"/>
  <c r="C125" i="37"/>
  <c r="C123" i="37"/>
  <c r="C98" i="37"/>
  <c r="C99" i="37"/>
  <c r="C20" i="37"/>
  <c r="A4" i="25"/>
  <c r="A19" i="57" l="1"/>
  <c r="C39" i="57" s="1"/>
  <c r="F41" i="58"/>
  <c r="F31" i="58"/>
  <c r="F26" i="58"/>
  <c r="J31" i="58"/>
  <c r="F36" i="58"/>
  <c r="E33" i="57"/>
  <c r="J31" i="56"/>
  <c r="F36" i="56"/>
  <c r="F31" i="56"/>
  <c r="F41" i="55"/>
  <c r="J31" i="55"/>
  <c r="F36" i="55"/>
  <c r="A19" i="55"/>
  <c r="C42" i="55" s="1"/>
  <c r="A19" i="56"/>
  <c r="C42" i="56" s="1"/>
  <c r="A19" i="58"/>
  <c r="C42" i="58" s="1"/>
  <c r="F6" i="50"/>
  <c r="D3" i="50"/>
  <c r="E2" i="50"/>
  <c r="C2" i="50"/>
  <c r="C18" i="49"/>
  <c r="F6" i="49"/>
  <c r="D3" i="49"/>
  <c r="E2" i="49"/>
  <c r="C2" i="49"/>
  <c r="D4" i="49" s="1"/>
  <c r="C1026" i="37"/>
  <c r="C1025" i="37"/>
  <c r="C1024" i="37"/>
  <c r="C962" i="37"/>
  <c r="C961" i="37"/>
  <c r="C960" i="37"/>
  <c r="C929" i="37"/>
  <c r="C928" i="37"/>
  <c r="C927" i="37"/>
  <c r="C872" i="37"/>
  <c r="C871" i="37"/>
  <c r="C870" i="37"/>
  <c r="C869" i="37"/>
  <c r="C868" i="37"/>
  <c r="C867" i="37"/>
  <c r="C866" i="37"/>
  <c r="C798" i="37"/>
  <c r="C797" i="37"/>
  <c r="C796" i="37"/>
  <c r="C795" i="37"/>
  <c r="C794" i="37"/>
  <c r="C793" i="37"/>
  <c r="C792" i="37"/>
  <c r="C757" i="37"/>
  <c r="C756" i="37"/>
  <c r="C755" i="37"/>
  <c r="C754" i="37"/>
  <c r="C753" i="37"/>
  <c r="C752" i="37"/>
  <c r="C751" i="37"/>
  <c r="C688" i="37"/>
  <c r="C687" i="37"/>
  <c r="C686" i="37"/>
  <c r="C685" i="37"/>
  <c r="C684" i="37"/>
  <c r="C683" i="37"/>
  <c r="C614" i="37"/>
  <c r="C613" i="37"/>
  <c r="C612" i="37"/>
  <c r="C611" i="37"/>
  <c r="C610" i="37"/>
  <c r="C609" i="37"/>
  <c r="C575" i="37"/>
  <c r="C574" i="37"/>
  <c r="C573" i="37"/>
  <c r="C572" i="37"/>
  <c r="C571" i="37"/>
  <c r="C570" i="37"/>
  <c r="C499" i="37"/>
  <c r="C498" i="37"/>
  <c r="C497" i="37"/>
  <c r="C496" i="37"/>
  <c r="C424" i="37"/>
  <c r="C423" i="37"/>
  <c r="C422" i="37"/>
  <c r="C421" i="37"/>
  <c r="C389" i="37"/>
  <c r="C388" i="37"/>
  <c r="C387" i="37"/>
  <c r="C386" i="37"/>
  <c r="C318" i="37"/>
  <c r="C317" i="37"/>
  <c r="C316" i="37"/>
  <c r="C315" i="37"/>
  <c r="C314" i="37"/>
  <c r="C242" i="37"/>
  <c r="C241" i="37"/>
  <c r="C240" i="37"/>
  <c r="C239" i="37"/>
  <c r="C238" i="37"/>
  <c r="C204" i="37"/>
  <c r="C203" i="37"/>
  <c r="C202" i="37"/>
  <c r="C201" i="37"/>
  <c r="C200" i="37"/>
  <c r="C135" i="37"/>
  <c r="C134" i="37"/>
  <c r="C133" i="37"/>
  <c r="C132" i="37"/>
  <c r="C67" i="37"/>
  <c r="C66" i="37"/>
  <c r="C65" i="37"/>
  <c r="C64" i="37"/>
  <c r="C27" i="37"/>
  <c r="C30" i="37"/>
  <c r="C29" i="37"/>
  <c r="C28" i="37"/>
  <c r="C1015" i="37"/>
  <c r="C989" i="37"/>
  <c r="C953" i="37"/>
  <c r="C919" i="37"/>
  <c r="C857" i="37"/>
  <c r="C831" i="37"/>
  <c r="C785" i="37"/>
  <c r="C743" i="37"/>
  <c r="C674" i="37"/>
  <c r="C648" i="37"/>
  <c r="C602" i="37"/>
  <c r="C562" i="37"/>
  <c r="C487" i="37"/>
  <c r="C461" i="37"/>
  <c r="C414" i="37"/>
  <c r="C378" i="37"/>
  <c r="C305" i="37"/>
  <c r="C279" i="37"/>
  <c r="C231" i="37"/>
  <c r="C192" i="37"/>
  <c r="C97" i="37"/>
  <c r="C72" i="37"/>
  <c r="A269" i="27" l="1"/>
  <c r="A279" i="27"/>
  <c r="A272" i="27"/>
  <c r="A277" i="27"/>
  <c r="A270" i="27"/>
  <c r="A273" i="27"/>
  <c r="A282" i="27"/>
  <c r="A278" i="27"/>
  <c r="A271" i="27"/>
  <c r="A281" i="27"/>
  <c r="A280" i="27"/>
  <c r="A264" i="27"/>
  <c r="A260" i="27"/>
  <c r="A253" i="27"/>
  <c r="A254" i="27"/>
  <c r="A263" i="27"/>
  <c r="A259" i="27"/>
  <c r="A252" i="27"/>
  <c r="A262" i="27"/>
  <c r="A255" i="27"/>
  <c r="A251" i="27"/>
  <c r="C10" i="49" s="1"/>
  <c r="A261" i="27"/>
  <c r="S34" i="27"/>
  <c r="R25" i="27"/>
  <c r="S25" i="27"/>
  <c r="T25" i="27" s="1"/>
  <c r="R26" i="27"/>
  <c r="S26" i="27"/>
  <c r="T26" i="27" s="1"/>
  <c r="R27" i="27"/>
  <c r="S27" i="27"/>
  <c r="T27" i="27" s="1"/>
  <c r="R29" i="27"/>
  <c r="S29" i="27"/>
  <c r="T29" i="27" s="1"/>
  <c r="R30" i="27"/>
  <c r="S30" i="27"/>
  <c r="T30" i="27" s="1"/>
  <c r="R31" i="27"/>
  <c r="S31" i="27"/>
  <c r="T31" i="27" s="1"/>
  <c r="R32" i="27"/>
  <c r="S32" i="27"/>
  <c r="T32" i="27" s="1"/>
  <c r="R33" i="27"/>
  <c r="S33" i="27"/>
  <c r="T33" i="27" s="1"/>
  <c r="S24" i="27"/>
  <c r="T24" i="27" s="1"/>
  <c r="R35" i="27"/>
  <c r="R36" i="27"/>
  <c r="R37" i="27"/>
  <c r="R38" i="27"/>
  <c r="R39" i="27"/>
  <c r="R40" i="27"/>
  <c r="R24" i="27"/>
  <c r="C19" i="37"/>
  <c r="C9" i="49" l="1"/>
  <c r="C7" i="49"/>
  <c r="C8" i="49"/>
  <c r="C17" i="49"/>
  <c r="C6" i="49"/>
  <c r="D12" i="50"/>
  <c r="D5" i="50"/>
  <c r="D9" i="50"/>
  <c r="D19" i="50"/>
  <c r="D16" i="50"/>
  <c r="D21" i="50"/>
  <c r="D10" i="50"/>
  <c r="D14" i="50"/>
  <c r="D11" i="50"/>
  <c r="D23" i="50"/>
  <c r="D13" i="50"/>
  <c r="D7" i="50"/>
  <c r="D17" i="50"/>
  <c r="D20" i="50"/>
  <c r="D24" i="50"/>
  <c r="D15" i="50"/>
  <c r="D8" i="50"/>
  <c r="D6" i="50"/>
  <c r="D22" i="50"/>
  <c r="C19" i="49"/>
  <c r="C24" i="49"/>
  <c r="D20" i="49"/>
  <c r="D24" i="49"/>
  <c r="D21" i="49"/>
  <c r="D22" i="49"/>
  <c r="D23" i="49"/>
  <c r="D19" i="49"/>
  <c r="D6" i="49"/>
  <c r="D10" i="49"/>
  <c r="D14" i="49"/>
  <c r="D12" i="49"/>
  <c r="D9" i="49"/>
  <c r="D13" i="49"/>
  <c r="D17" i="49"/>
  <c r="D7" i="49"/>
  <c r="D11" i="49"/>
  <c r="D15" i="49"/>
  <c r="D8" i="49"/>
  <c r="D16" i="49"/>
  <c r="D5" i="49"/>
  <c r="C5" i="49"/>
  <c r="B12" i="25"/>
  <c r="B101" i="27"/>
  <c r="B102" i="27"/>
  <c r="AD101" i="27"/>
  <c r="AB101" i="27" s="1"/>
  <c r="AD102" i="27"/>
  <c r="AK102" i="27"/>
  <c r="AD103" i="27"/>
  <c r="AB103" i="27" s="1"/>
  <c r="AK103" i="27"/>
  <c r="AD104" i="27"/>
  <c r="AK104" i="27"/>
  <c r="AD105" i="27"/>
  <c r="AB105" i="27" s="1"/>
  <c r="AK105" i="27"/>
  <c r="AD106" i="27"/>
  <c r="AK106" i="27"/>
  <c r="AD107" i="27"/>
  <c r="AB107" i="27" s="1"/>
  <c r="AK107" i="27"/>
  <c r="AD108" i="27"/>
  <c r="AK108" i="27"/>
  <c r="AD109" i="27"/>
  <c r="AB109" i="27" s="1"/>
  <c r="AK109" i="27"/>
  <c r="AD110" i="27"/>
  <c r="AK110" i="27"/>
  <c r="AD111" i="27"/>
  <c r="AB111" i="27" s="1"/>
  <c r="AK111" i="27"/>
  <c r="AD112" i="27"/>
  <c r="AB112" i="27" s="1"/>
  <c r="AK112" i="27"/>
  <c r="AD113" i="27"/>
  <c r="AB113" i="27" s="1"/>
  <c r="AK113" i="27"/>
  <c r="AD114" i="27"/>
  <c r="AB114" i="27" s="1"/>
  <c r="AK114" i="27"/>
  <c r="AD115" i="27"/>
  <c r="AB115" i="27" s="1"/>
  <c r="AK115" i="27"/>
  <c r="AD116" i="27"/>
  <c r="AB116" i="27" s="1"/>
  <c r="AK116" i="27"/>
  <c r="AD117" i="27"/>
  <c r="AB117" i="27" s="1"/>
  <c r="AK117" i="27"/>
  <c r="AD118" i="27"/>
  <c r="AB118" i="27" s="1"/>
  <c r="AK118" i="27"/>
  <c r="AD119" i="27"/>
  <c r="AB119" i="27" s="1"/>
  <c r="AK119" i="27"/>
  <c r="AD120" i="27"/>
  <c r="AB120" i="27" s="1"/>
  <c r="AK120" i="27"/>
  <c r="AD121" i="27"/>
  <c r="AB121" i="27" s="1"/>
  <c r="AK121" i="27"/>
  <c r="AB102" i="27"/>
  <c r="AB104" i="27"/>
  <c r="AF104" i="27" s="1"/>
  <c r="E104" i="27" s="1"/>
  <c r="AB106" i="27"/>
  <c r="AB108" i="27"/>
  <c r="AF108" i="27" s="1"/>
  <c r="E108" i="27" s="1"/>
  <c r="AB110" i="27"/>
  <c r="AF118" i="27" l="1"/>
  <c r="E118" i="27" s="1"/>
  <c r="AF110" i="27"/>
  <c r="E110" i="27" s="1"/>
  <c r="AF106" i="27"/>
  <c r="E106" i="27" s="1"/>
  <c r="AF102" i="27"/>
  <c r="E102" i="27" s="1"/>
  <c r="AF116" i="27"/>
  <c r="E116" i="27" s="1"/>
  <c r="AF114" i="27"/>
  <c r="E114" i="27" s="1"/>
  <c r="AF120" i="27"/>
  <c r="E120" i="27" s="1"/>
  <c r="AF112" i="27"/>
  <c r="E112" i="27" s="1"/>
  <c r="AF121" i="27"/>
  <c r="AF119" i="27"/>
  <c r="E119" i="27" s="1"/>
  <c r="AF117" i="27"/>
  <c r="E117" i="27" s="1"/>
  <c r="AF115" i="27"/>
  <c r="E115" i="27" s="1"/>
  <c r="AF113" i="27"/>
  <c r="E113" i="27" s="1"/>
  <c r="AF111" i="27"/>
  <c r="E111" i="27" s="1"/>
  <c r="AF109" i="27"/>
  <c r="E109" i="27" s="1"/>
  <c r="AF107" i="27"/>
  <c r="E107" i="27" s="1"/>
  <c r="AF105" i="27"/>
  <c r="E105" i="27" s="1"/>
  <c r="AF103" i="27"/>
  <c r="E103" i="27" s="1"/>
  <c r="AF101" i="27"/>
  <c r="E101" i="27" s="1"/>
  <c r="A5" i="25" l="1"/>
  <c r="C9" i="38"/>
  <c r="A3" i="25"/>
  <c r="A2" i="25"/>
  <c r="A1" i="25"/>
  <c r="A119" i="27" l="1"/>
  <c r="A19" i="25"/>
  <c r="C42" i="25" s="1"/>
  <c r="A117" i="27"/>
  <c r="A107" i="27"/>
  <c r="A105" i="27"/>
  <c r="A108" i="27"/>
  <c r="A104" i="27"/>
  <c r="A102" i="27"/>
  <c r="A118" i="27"/>
  <c r="A109" i="27"/>
  <c r="A111" i="27"/>
  <c r="A106" i="27"/>
  <c r="A112" i="27"/>
  <c r="A116" i="27"/>
  <c r="A110" i="27"/>
  <c r="A103" i="27"/>
  <c r="A120" i="27"/>
  <c r="A115" i="27"/>
  <c r="A113" i="27"/>
  <c r="A114" i="27"/>
  <c r="A101" i="27"/>
  <c r="B209" i="27"/>
  <c r="B192" i="27"/>
  <c r="R179" i="27"/>
  <c r="Y179" i="27" s="1"/>
  <c r="T179" i="27" s="1"/>
  <c r="B197" i="27"/>
  <c r="B198" i="27"/>
  <c r="B199" i="27"/>
  <c r="B200" i="27"/>
  <c r="B201" i="27"/>
  <c r="B202" i="27"/>
  <c r="B203" i="27"/>
  <c r="B204" i="27"/>
  <c r="B205" i="27"/>
  <c r="B206" i="27"/>
  <c r="B207" i="27"/>
  <c r="B208" i="27"/>
  <c r="B210" i="27"/>
  <c r="B211" i="27"/>
  <c r="B212" i="27"/>
  <c r="B213" i="27"/>
  <c r="B214" i="27"/>
  <c r="B215" i="27"/>
  <c r="B216" i="27"/>
  <c r="B217" i="27"/>
  <c r="B218" i="27"/>
  <c r="B219" i="27"/>
  <c r="B220" i="27"/>
  <c r="B221" i="27"/>
  <c r="B222" i="27"/>
  <c r="B196" i="27"/>
  <c r="B166" i="27"/>
  <c r="A146" i="25" a="1"/>
  <c r="A146" i="25" s="1"/>
  <c r="A147" i="25" a="1"/>
  <c r="A147" i="25" s="1"/>
  <c r="A148" i="25" a="1"/>
  <c r="A148" i="25" s="1"/>
  <c r="A149" i="25" a="1"/>
  <c r="A149" i="25" s="1"/>
  <c r="A150" i="25" a="1"/>
  <c r="A150" i="25" s="1"/>
  <c r="A151" i="25" a="1"/>
  <c r="A151" i="25" s="1"/>
  <c r="A152" i="25" a="1"/>
  <c r="A152" i="25" s="1"/>
  <c r="A153" i="25" a="1"/>
  <c r="A153" i="25" s="1"/>
  <c r="A154" i="25" a="1"/>
  <c r="A154" i="25" s="1"/>
  <c r="A155" i="25" a="1"/>
  <c r="A155" i="25" s="1"/>
  <c r="A156" i="25" a="1"/>
  <c r="A156" i="25" s="1"/>
  <c r="A157" i="25" a="1"/>
  <c r="A157" i="25" s="1"/>
  <c r="A158" i="25" a="1"/>
  <c r="A158" i="25" s="1"/>
  <c r="A159" i="25" a="1"/>
  <c r="A159" i="25" s="1"/>
  <c r="A160" i="25" a="1"/>
  <c r="A160" i="25" s="1"/>
  <c r="A161" i="25" a="1"/>
  <c r="A161" i="25" s="1"/>
  <c r="A162" i="25" a="1"/>
  <c r="A162" i="25" s="1"/>
  <c r="A163" i="25" a="1"/>
  <c r="A163" i="25" s="1"/>
  <c r="A164" i="25" a="1"/>
  <c r="A164" i="25" s="1"/>
  <c r="A165" i="25" a="1"/>
  <c r="A165" i="25" s="1"/>
  <c r="A166" i="25" a="1"/>
  <c r="A166" i="25" s="1"/>
  <c r="A167" i="25" a="1"/>
  <c r="A167" i="25" s="1"/>
  <c r="A168" i="25" a="1"/>
  <c r="A168" i="25" s="1"/>
  <c r="A169" i="25" a="1"/>
  <c r="A169" i="25" s="1"/>
  <c r="A170" i="25" a="1"/>
  <c r="A170" i="25" s="1"/>
  <c r="A171" i="25" a="1"/>
  <c r="A171" i="25" s="1"/>
  <c r="A172" i="25" a="1"/>
  <c r="A172" i="25" s="1"/>
  <c r="A173" i="25" a="1"/>
  <c r="A173" i="25" s="1"/>
  <c r="A174" i="25" a="1"/>
  <c r="A174" i="25" s="1"/>
  <c r="A175" i="25" a="1"/>
  <c r="A175" i="25" s="1"/>
  <c r="A176" i="25" a="1"/>
  <c r="A176" i="25" s="1"/>
  <c r="A177" i="25" a="1"/>
  <c r="A177" i="25" s="1"/>
  <c r="A178" i="25" a="1"/>
  <c r="A178" i="25" s="1"/>
  <c r="A179" i="25" a="1"/>
  <c r="A179" i="25" s="1"/>
  <c r="A180" i="25" a="1"/>
  <c r="A180" i="25" s="1"/>
  <c r="A181" i="25" a="1"/>
  <c r="A181" i="25" s="1"/>
  <c r="A182" i="25" a="1"/>
  <c r="A182" i="25" s="1"/>
  <c r="A183" i="25" a="1"/>
  <c r="A183" i="25" s="1"/>
  <c r="A184" i="25" a="1"/>
  <c r="A184" i="25" s="1"/>
  <c r="A185" i="25" a="1"/>
  <c r="A185" i="25" s="1"/>
  <c r="A186" i="25" a="1"/>
  <c r="A186" i="25" s="1"/>
  <c r="A187" i="25" a="1"/>
  <c r="A187" i="25" s="1"/>
  <c r="A188" i="25" a="1"/>
  <c r="A188" i="25" s="1"/>
  <c r="A189" i="25" a="1"/>
  <c r="A189" i="25" s="1"/>
  <c r="A190" i="25" a="1"/>
  <c r="A190" i="25" s="1"/>
  <c r="A191" i="25" a="1"/>
  <c r="A191" i="25" s="1"/>
  <c r="A192" i="25" a="1"/>
  <c r="A192" i="25" s="1"/>
  <c r="A193" i="25" a="1"/>
  <c r="A193" i="25" s="1"/>
  <c r="A194" i="25" a="1"/>
  <c r="A194" i="25" s="1"/>
  <c r="A195" i="25" a="1"/>
  <c r="A195" i="25" s="1"/>
  <c r="A196" i="25" a="1"/>
  <c r="A196" i="25" s="1"/>
  <c r="A197" i="25" a="1"/>
  <c r="A197" i="25" s="1"/>
  <c r="A198" i="25" a="1"/>
  <c r="A198" i="25" s="1"/>
  <c r="A199" i="25" a="1"/>
  <c r="A199" i="25" s="1"/>
  <c r="A200" i="25" a="1"/>
  <c r="A200" i="25" s="1"/>
  <c r="A201" i="25" a="1"/>
  <c r="A201" i="25" s="1"/>
  <c r="A202" i="25" a="1"/>
  <c r="A202" i="25" s="1"/>
  <c r="A203" i="25" a="1"/>
  <c r="A203" i="25" s="1"/>
  <c r="A204" i="25" a="1"/>
  <c r="A204" i="25" s="1"/>
  <c r="A205" i="25" a="1"/>
  <c r="A205" i="25" s="1"/>
  <c r="A206" i="25" a="1"/>
  <c r="A206" i="25" s="1"/>
  <c r="A207" i="25" a="1"/>
  <c r="A207" i="25" s="1"/>
  <c r="A208" i="25" a="1"/>
  <c r="A208" i="25" s="1"/>
  <c r="A209" i="25" a="1"/>
  <c r="A209" i="25" s="1"/>
  <c r="A210" i="25" a="1"/>
  <c r="A210" i="25" s="1"/>
  <c r="A211" i="25" a="1"/>
  <c r="A211" i="25" s="1"/>
  <c r="A212" i="25" a="1"/>
  <c r="A212" i="25" s="1"/>
  <c r="A213" i="25" a="1"/>
  <c r="A213" i="25" s="1"/>
  <c r="A214" i="25" a="1"/>
  <c r="A214" i="25" s="1"/>
  <c r="A215" i="25" a="1"/>
  <c r="A215" i="25" s="1"/>
  <c r="A216" i="25" a="1"/>
  <c r="A216" i="25" s="1"/>
  <c r="A217" i="25" a="1"/>
  <c r="A217" i="25" s="1"/>
  <c r="A218" i="25" a="1"/>
  <c r="A218" i="25" s="1"/>
  <c r="A219" i="25" a="1"/>
  <c r="A219" i="25" s="1"/>
  <c r="A220" i="25" a="1"/>
  <c r="A220" i="25" s="1"/>
  <c r="A221" i="25" a="1"/>
  <c r="A221" i="25" s="1"/>
  <c r="A222" i="25" a="1"/>
  <c r="A222" i="25" s="1"/>
  <c r="D517" i="37" l="1"/>
  <c r="CV10" i="45" s="1"/>
  <c r="D528" i="37"/>
  <c r="CW9" i="45" s="1"/>
  <c r="D541" i="37"/>
  <c r="CX10" i="45" s="1"/>
  <c r="X179" i="27"/>
  <c r="S179" i="27" s="1"/>
  <c r="AA179" i="27"/>
  <c r="V179" i="27" s="1"/>
  <c r="Z179" i="27"/>
  <c r="U179" i="27" s="1"/>
  <c r="B167" i="27"/>
  <c r="B168" i="27"/>
  <c r="B169" i="27"/>
  <c r="B170" i="27"/>
  <c r="B171" i="27"/>
  <c r="B172" i="27"/>
  <c r="B173" i="27"/>
  <c r="B174" i="27"/>
  <c r="B175" i="27"/>
  <c r="B176" i="27"/>
  <c r="B177" i="27"/>
  <c r="B178" i="27"/>
  <c r="B179" i="27"/>
  <c r="B180" i="27"/>
  <c r="B181" i="27"/>
  <c r="B182" i="27"/>
  <c r="B183" i="27"/>
  <c r="B184" i="27"/>
  <c r="B185" i="27"/>
  <c r="B186" i="27"/>
  <c r="B187" i="27"/>
  <c r="B188" i="27"/>
  <c r="B189" i="27"/>
  <c r="B190" i="27"/>
  <c r="B191" i="27"/>
  <c r="R167" i="27"/>
  <c r="R168" i="27"/>
  <c r="R169" i="27"/>
  <c r="R170" i="27"/>
  <c r="Y170" i="27" s="1"/>
  <c r="T170" i="27" s="1"/>
  <c r="R171" i="27"/>
  <c r="R172" i="27"/>
  <c r="R173" i="27"/>
  <c r="Y173" i="27" s="1"/>
  <c r="AA173" i="27" s="1"/>
  <c r="V173" i="27" s="1"/>
  <c r="R174" i="27"/>
  <c r="Y174" i="27" s="1"/>
  <c r="AA174" i="27" s="1"/>
  <c r="V174" i="27" s="1"/>
  <c r="R175" i="27"/>
  <c r="R176" i="27"/>
  <c r="R177" i="27"/>
  <c r="R178" i="27"/>
  <c r="Y178" i="27" s="1"/>
  <c r="Z178" i="27" s="1"/>
  <c r="U178" i="27" s="1"/>
  <c r="R180" i="27"/>
  <c r="R181" i="27"/>
  <c r="R182" i="27"/>
  <c r="Y182" i="27" s="1"/>
  <c r="AA182" i="27" s="1"/>
  <c r="V182" i="27" s="1"/>
  <c r="R183" i="27"/>
  <c r="Y183" i="27" s="1"/>
  <c r="Z183" i="27" s="1"/>
  <c r="U183" i="27" s="1"/>
  <c r="R184" i="27"/>
  <c r="R185" i="27"/>
  <c r="R186" i="27"/>
  <c r="R187" i="27"/>
  <c r="Y187" i="27" s="1"/>
  <c r="AA187" i="27" s="1"/>
  <c r="V187" i="27" s="1"/>
  <c r="R188" i="27"/>
  <c r="R189" i="27"/>
  <c r="R190" i="27"/>
  <c r="Y190" i="27" s="1"/>
  <c r="AA190" i="27" s="1"/>
  <c r="V190" i="27" s="1"/>
  <c r="R191" i="27"/>
  <c r="Y191" i="27" s="1"/>
  <c r="Z191" i="27" s="1"/>
  <c r="U191" i="27" s="1"/>
  <c r="R192" i="27"/>
  <c r="R166" i="27"/>
  <c r="Y166" i="27" s="1"/>
  <c r="T166" i="27" s="1"/>
  <c r="C2" i="24"/>
  <c r="D4" i="24" s="1"/>
  <c r="AD94" i="27"/>
  <c r="AB94" i="27" s="1"/>
  <c r="AD99" i="27"/>
  <c r="AB99" i="27" s="1"/>
  <c r="AD87" i="27"/>
  <c r="AB87" i="27" s="1"/>
  <c r="AD86" i="27"/>
  <c r="AB86" i="27" s="1"/>
  <c r="AD83" i="27"/>
  <c r="AB83" i="27" s="1"/>
  <c r="AF83" i="27" s="1"/>
  <c r="AD82" i="27"/>
  <c r="AB82" i="27" s="1"/>
  <c r="AD81" i="27"/>
  <c r="AB81" i="27" s="1"/>
  <c r="AD80" i="27"/>
  <c r="AB80" i="27" s="1"/>
  <c r="AD79" i="27"/>
  <c r="AB79" i="27" s="1"/>
  <c r="AD78" i="27"/>
  <c r="AB78" i="27" s="1"/>
  <c r="AD77" i="27"/>
  <c r="AB77" i="27" s="1"/>
  <c r="AF77" i="27" s="1"/>
  <c r="AD85" i="27"/>
  <c r="AB85" i="27" s="1"/>
  <c r="AD88" i="27"/>
  <c r="AB88" i="27" s="1"/>
  <c r="AF88" i="27" s="1"/>
  <c r="AD89" i="27"/>
  <c r="AB89" i="27" s="1"/>
  <c r="AD90" i="27"/>
  <c r="AB90" i="27" s="1"/>
  <c r="AD91" i="27"/>
  <c r="AB91" i="27" s="1"/>
  <c r="AD92" i="27"/>
  <c r="AB92" i="27" s="1"/>
  <c r="AF92" i="27" s="1"/>
  <c r="AD93" i="27"/>
  <c r="AB93" i="27" s="1"/>
  <c r="AD95" i="27"/>
  <c r="AB95" i="27" s="1"/>
  <c r="AD96" i="27"/>
  <c r="AB96" i="27" s="1"/>
  <c r="AD97" i="27"/>
  <c r="AB97" i="27" s="1"/>
  <c r="AF97" i="27" s="1"/>
  <c r="E97" i="27" s="1"/>
  <c r="AD98" i="27"/>
  <c r="AB98" i="27" s="1"/>
  <c r="AD100" i="27"/>
  <c r="AB100" i="27" s="1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77" i="27"/>
  <c r="AD58" i="27"/>
  <c r="AB58" i="27" s="1"/>
  <c r="AD59" i="27"/>
  <c r="AB59" i="27" s="1"/>
  <c r="AD60" i="27"/>
  <c r="AB60" i="27" s="1"/>
  <c r="AB66" i="27"/>
  <c r="AD67" i="27"/>
  <c r="AB67" i="27" s="1"/>
  <c r="AF67" i="27" s="1"/>
  <c r="AD68" i="27"/>
  <c r="AB68" i="27" s="1"/>
  <c r="AF68" i="27" s="1"/>
  <c r="AD69" i="27"/>
  <c r="AB69" i="27" s="1"/>
  <c r="AF69" i="27" s="1"/>
  <c r="AD70" i="27"/>
  <c r="AD71" i="27"/>
  <c r="AB71" i="27" s="1"/>
  <c r="AF71" i="27" s="1"/>
  <c r="AD72" i="27"/>
  <c r="AB72" i="27" s="1"/>
  <c r="AF72" i="27" s="1"/>
  <c r="AD73" i="27"/>
  <c r="AB73" i="27" s="1"/>
  <c r="AF73" i="27" s="1"/>
  <c r="AD74" i="27"/>
  <c r="AB74" i="27" s="1"/>
  <c r="AF74" i="27" s="1"/>
  <c r="AD75" i="27"/>
  <c r="AB75" i="27" s="1"/>
  <c r="AF75" i="27" s="1"/>
  <c r="AD76" i="27"/>
  <c r="AB76" i="27" s="1"/>
  <c r="AE66" i="27" l="1"/>
  <c r="AF66" i="27"/>
  <c r="A97" i="27"/>
  <c r="AN108" i="27"/>
  <c r="AN118" i="27"/>
  <c r="AN102" i="27"/>
  <c r="AN114" i="27"/>
  <c r="AN120" i="27"/>
  <c r="AN104" i="27"/>
  <c r="AN106" i="27"/>
  <c r="AN119" i="27"/>
  <c r="AN117" i="27"/>
  <c r="AN115" i="27"/>
  <c r="AN116" i="27"/>
  <c r="AN113" i="27"/>
  <c r="AN109" i="27"/>
  <c r="AN111" i="27"/>
  <c r="AN112" i="27"/>
  <c r="AN107" i="27"/>
  <c r="AJ101" i="27"/>
  <c r="AN105" i="27"/>
  <c r="AN110" i="27"/>
  <c r="AN103" i="27"/>
  <c r="AN121" i="27"/>
  <c r="E166" i="27"/>
  <c r="A166" i="27" s="1"/>
  <c r="X183" i="27"/>
  <c r="S183" i="27" s="1"/>
  <c r="T182" i="27"/>
  <c r="X178" i="27"/>
  <c r="S178" i="27" s="1"/>
  <c r="T191" i="27"/>
  <c r="T174" i="27"/>
  <c r="X190" i="27"/>
  <c r="S190" i="27" s="1"/>
  <c r="T187" i="27"/>
  <c r="X187" i="27"/>
  <c r="S187" i="27" s="1"/>
  <c r="X174" i="27"/>
  <c r="S174" i="27" s="1"/>
  <c r="T190" i="27"/>
  <c r="T178" i="27"/>
  <c r="X173" i="27"/>
  <c r="S173" i="27" s="1"/>
  <c r="X191" i="27"/>
  <c r="S191" i="27" s="1"/>
  <c r="X182" i="27"/>
  <c r="S182" i="27" s="1"/>
  <c r="X170" i="27"/>
  <c r="S170" i="27" s="1"/>
  <c r="T183" i="27"/>
  <c r="T173" i="27"/>
  <c r="Z187" i="27"/>
  <c r="U187" i="27" s="1"/>
  <c r="Z174" i="27"/>
  <c r="U174" i="27" s="1"/>
  <c r="Z190" i="27"/>
  <c r="U190" i="27" s="1"/>
  <c r="Z182" i="27"/>
  <c r="U182" i="27" s="1"/>
  <c r="Z173" i="27"/>
  <c r="U173" i="27" s="1"/>
  <c r="AA191" i="27"/>
  <c r="V191" i="27" s="1"/>
  <c r="AA183" i="27"/>
  <c r="V183" i="27" s="1"/>
  <c r="AA178" i="27"/>
  <c r="V178" i="27" s="1"/>
  <c r="AA170" i="27"/>
  <c r="V170" i="27" s="1"/>
  <c r="Z170" i="27"/>
  <c r="U170" i="27" s="1"/>
  <c r="AA166" i="27"/>
  <c r="V166" i="27" s="1"/>
  <c r="G173" i="27" s="1"/>
  <c r="Z166" i="27"/>
  <c r="U166" i="27" s="1"/>
  <c r="X166" i="27"/>
  <c r="S166" i="27" s="1"/>
  <c r="Y186" i="27"/>
  <c r="Y177" i="27"/>
  <c r="Y169" i="27"/>
  <c r="Y189" i="27"/>
  <c r="Y185" i="27"/>
  <c r="Y181" i="27"/>
  <c r="Y176" i="27"/>
  <c r="Y172" i="27"/>
  <c r="Y168" i="27"/>
  <c r="Y192" i="27"/>
  <c r="Y188" i="27"/>
  <c r="Y184" i="27"/>
  <c r="Y180" i="27"/>
  <c r="Y175" i="27"/>
  <c r="Y171" i="27"/>
  <c r="Y167" i="27"/>
  <c r="AF87" i="27"/>
  <c r="AF96" i="27"/>
  <c r="E96" i="27" s="1"/>
  <c r="A96" i="27" s="1"/>
  <c r="AF79" i="27"/>
  <c r="E79" i="27" s="1"/>
  <c r="A79" i="27" s="1"/>
  <c r="AF100" i="27"/>
  <c r="E100" i="27" s="1"/>
  <c r="A100" i="27" s="1"/>
  <c r="AF80" i="27"/>
  <c r="AF84" i="27"/>
  <c r="AF91" i="27"/>
  <c r="AF85" i="27"/>
  <c r="AF98" i="27"/>
  <c r="E98" i="27" s="1"/>
  <c r="A98" i="27" s="1"/>
  <c r="AF93" i="27"/>
  <c r="E93" i="27" s="1"/>
  <c r="A93" i="27" s="1"/>
  <c r="AF89" i="27"/>
  <c r="AF81" i="27"/>
  <c r="AF94" i="27"/>
  <c r="E94" i="27" s="1"/>
  <c r="A94" i="27" s="1"/>
  <c r="AF76" i="27"/>
  <c r="AE99" i="27"/>
  <c r="D99" i="27" s="1"/>
  <c r="AF99" i="27"/>
  <c r="E99" i="27" s="1"/>
  <c r="A99" i="27" s="1"/>
  <c r="AF95" i="27"/>
  <c r="E95" i="27" s="1"/>
  <c r="A95" i="27" s="1"/>
  <c r="AF90" i="27"/>
  <c r="AF86" i="27"/>
  <c r="AF82" i="27"/>
  <c r="AF78" i="27"/>
  <c r="AJ93" i="27"/>
  <c r="D40" i="37" l="1"/>
  <c r="I4" i="45" s="1"/>
  <c r="D438" i="37"/>
  <c r="CE11" i="45" s="1"/>
  <c r="F190" i="27"/>
  <c r="E190" i="27"/>
  <c r="A190" i="27" s="1"/>
  <c r="D684" i="37" s="1"/>
  <c r="EA3" i="45" s="1"/>
  <c r="G170" i="27"/>
  <c r="F173" i="27"/>
  <c r="E173" i="27"/>
  <c r="A173" i="27" s="1"/>
  <c r="G190" i="27"/>
  <c r="F166" i="27"/>
  <c r="G166" i="27"/>
  <c r="D190" i="27"/>
  <c r="D166" i="27"/>
  <c r="D173" i="27"/>
  <c r="Z180" i="27"/>
  <c r="X180" i="27"/>
  <c r="AA180" i="27"/>
  <c r="V180" i="27" s="1"/>
  <c r="T180" i="27"/>
  <c r="T168" i="27"/>
  <c r="AA168" i="27"/>
  <c r="V168" i="27" s="1"/>
  <c r="Z168" i="27"/>
  <c r="U168" i="27" s="1"/>
  <c r="X168" i="27"/>
  <c r="S168" i="27" s="1"/>
  <c r="T185" i="27"/>
  <c r="AA185" i="27"/>
  <c r="V185" i="27" s="1"/>
  <c r="Z185" i="27"/>
  <c r="U185" i="27" s="1"/>
  <c r="X185" i="27"/>
  <c r="S185" i="27" s="1"/>
  <c r="Z167" i="27"/>
  <c r="U167" i="27" s="1"/>
  <c r="F174" i="27" s="1"/>
  <c r="T167" i="27"/>
  <c r="X167" i="27"/>
  <c r="S167" i="27" s="1"/>
  <c r="AA167" i="27"/>
  <c r="V167" i="27" s="1"/>
  <c r="T184" i="27"/>
  <c r="X184" i="27"/>
  <c r="S184" i="27" s="1"/>
  <c r="AA184" i="27"/>
  <c r="V184" i="27" s="1"/>
  <c r="Z184" i="27"/>
  <c r="U184" i="27" s="1"/>
  <c r="T172" i="27"/>
  <c r="Z172" i="27"/>
  <c r="U172" i="27" s="1"/>
  <c r="X172" i="27"/>
  <c r="S172" i="27" s="1"/>
  <c r="AA172" i="27"/>
  <c r="V172" i="27" s="1"/>
  <c r="Z189" i="27"/>
  <c r="U189" i="27" s="1"/>
  <c r="T189" i="27"/>
  <c r="AA189" i="27"/>
  <c r="V189" i="27" s="1"/>
  <c r="G189" i="27" s="1"/>
  <c r="X189" i="27"/>
  <c r="S189" i="27" s="1"/>
  <c r="T169" i="27"/>
  <c r="AA169" i="27"/>
  <c r="V169" i="27" s="1"/>
  <c r="Z169" i="27"/>
  <c r="U169" i="27" s="1"/>
  <c r="X169" i="27"/>
  <c r="S169" i="27" s="1"/>
  <c r="AA171" i="27"/>
  <c r="V171" i="27" s="1"/>
  <c r="T171" i="27"/>
  <c r="E178" i="27" s="1"/>
  <c r="A178" i="27" s="1"/>
  <c r="X171" i="27"/>
  <c r="S171" i="27" s="1"/>
  <c r="D178" i="27" s="1"/>
  <c r="Z171" i="27"/>
  <c r="U171" i="27" s="1"/>
  <c r="Z188" i="27"/>
  <c r="U188" i="27" s="1"/>
  <c r="T188" i="27"/>
  <c r="X188" i="27"/>
  <c r="S188" i="27" s="1"/>
  <c r="AA188" i="27"/>
  <c r="V188" i="27" s="1"/>
  <c r="T176" i="27"/>
  <c r="Z176" i="27"/>
  <c r="U176" i="27" s="1"/>
  <c r="AA176" i="27"/>
  <c r="V176" i="27" s="1"/>
  <c r="X176" i="27"/>
  <c r="S176" i="27" s="1"/>
  <c r="T177" i="27"/>
  <c r="AA177" i="27"/>
  <c r="V177" i="27" s="1"/>
  <c r="Z177" i="27"/>
  <c r="U177" i="27" s="1"/>
  <c r="X177" i="27"/>
  <c r="S177" i="27" s="1"/>
  <c r="T175" i="27"/>
  <c r="E182" i="27" s="1"/>
  <c r="A182" i="27" s="1"/>
  <c r="X175" i="27"/>
  <c r="S175" i="27" s="1"/>
  <c r="D182" i="27" s="1"/>
  <c r="AA175" i="27"/>
  <c r="V175" i="27" s="1"/>
  <c r="G182" i="27" s="1"/>
  <c r="Z175" i="27"/>
  <c r="U175" i="27" s="1"/>
  <c r="F182" i="27" s="1"/>
  <c r="X192" i="27"/>
  <c r="S192" i="27" s="1"/>
  <c r="Z192" i="27"/>
  <c r="U192" i="27" s="1"/>
  <c r="F192" i="27" s="1"/>
  <c r="AA192" i="27"/>
  <c r="V192" i="27" s="1"/>
  <c r="G192" i="27" s="1"/>
  <c r="T192" i="27"/>
  <c r="Z181" i="27"/>
  <c r="U181" i="27" s="1"/>
  <c r="F181" i="27" s="1"/>
  <c r="T181" i="27"/>
  <c r="E181" i="27" s="1"/>
  <c r="A181" i="27" s="1"/>
  <c r="X181" i="27"/>
  <c r="S181" i="27" s="1"/>
  <c r="D181" i="27" s="1"/>
  <c r="AA181" i="27"/>
  <c r="AA186" i="27"/>
  <c r="V186" i="27" s="1"/>
  <c r="X186" i="27"/>
  <c r="S186" i="27" s="1"/>
  <c r="D186" i="27" s="1"/>
  <c r="T186" i="27"/>
  <c r="E186" i="27" s="1"/>
  <c r="A186" i="27" s="1"/>
  <c r="Z186" i="27"/>
  <c r="U186" i="27" s="1"/>
  <c r="F186" i="27" s="1"/>
  <c r="D174" i="27" l="1"/>
  <c r="E189" i="27"/>
  <c r="A189" i="27" s="1"/>
  <c r="D683" i="37" s="1"/>
  <c r="EA2" i="45" s="1"/>
  <c r="E174" i="27"/>
  <c r="A174" i="27" s="1"/>
  <c r="E170" i="27"/>
  <c r="A170" i="27" s="1"/>
  <c r="G178" i="27"/>
  <c r="D170" i="27"/>
  <c r="F170" i="27"/>
  <c r="F178" i="27"/>
  <c r="G174" i="27"/>
  <c r="G186" i="27"/>
  <c r="D192" i="27"/>
  <c r="F189" i="27"/>
  <c r="D189" i="27"/>
  <c r="E192" i="27"/>
  <c r="A192" i="27" s="1"/>
  <c r="D686" i="37" s="1"/>
  <c r="EA5" i="45" s="1"/>
  <c r="V181" i="27"/>
  <c r="G181" i="27" s="1"/>
  <c r="S180" i="27"/>
  <c r="D183" i="27" s="1"/>
  <c r="U180" i="27"/>
  <c r="F180" i="27" s="1"/>
  <c r="F179" i="27"/>
  <c r="D191" i="27"/>
  <c r="E176" i="27"/>
  <c r="A176" i="27" s="1"/>
  <c r="G171" i="27"/>
  <c r="E172" i="27"/>
  <c r="A172" i="27" s="1"/>
  <c r="F167" i="27"/>
  <c r="E168" i="27"/>
  <c r="A168" i="27" s="1"/>
  <c r="F185" i="27"/>
  <c r="G180" i="27"/>
  <c r="E191" i="27"/>
  <c r="A191" i="27" s="1"/>
  <c r="D685" i="37" s="1"/>
  <c r="EA4" i="45" s="1"/>
  <c r="F175" i="27"/>
  <c r="G187" i="27"/>
  <c r="F171" i="27"/>
  <c r="G172" i="27"/>
  <c r="F183" i="27"/>
  <c r="G167" i="27"/>
  <c r="E179" i="27"/>
  <c r="A179" i="27" s="1"/>
  <c r="E177" i="27"/>
  <c r="A177" i="27" s="1"/>
  <c r="E169" i="27"/>
  <c r="A169" i="27" s="1"/>
  <c r="G191" i="27"/>
  <c r="F169" i="27"/>
  <c r="G183" i="27"/>
  <c r="F184" i="27"/>
  <c r="F168" i="27"/>
  <c r="G179" i="27"/>
  <c r="G185" i="27"/>
  <c r="E175" i="27"/>
  <c r="A175" i="27" s="1"/>
  <c r="F187" i="27"/>
  <c r="F188" i="27"/>
  <c r="E183" i="27"/>
  <c r="A183" i="27" s="1"/>
  <c r="D687" i="37" s="1"/>
  <c r="EA6" i="45" s="1"/>
  <c r="E184" i="27"/>
  <c r="A184" i="27" s="1"/>
  <c r="E185" i="27"/>
  <c r="A185" i="27" s="1"/>
  <c r="D688" i="37" s="1"/>
  <c r="EA7" i="45" s="1"/>
  <c r="G175" i="27"/>
  <c r="F177" i="27"/>
  <c r="G176" i="27"/>
  <c r="G188" i="27"/>
  <c r="E180" i="27"/>
  <c r="A180" i="27" s="1"/>
  <c r="F191" i="27"/>
  <c r="G177" i="27"/>
  <c r="F176" i="27"/>
  <c r="E187" i="27"/>
  <c r="A187" i="27" s="1"/>
  <c r="E171" i="27"/>
  <c r="A171" i="27" s="1"/>
  <c r="G169" i="27"/>
  <c r="E188" i="27"/>
  <c r="A188" i="27" s="1"/>
  <c r="F172" i="27"/>
  <c r="E167" i="27"/>
  <c r="A167" i="27" s="1"/>
  <c r="G184" i="27"/>
  <c r="G168" i="27"/>
  <c r="D184" i="27"/>
  <c r="D187" i="27"/>
  <c r="D171" i="27"/>
  <c r="D172" i="27"/>
  <c r="D167" i="27"/>
  <c r="D188" i="27"/>
  <c r="D185" i="27"/>
  <c r="D175" i="27"/>
  <c r="D179" i="27"/>
  <c r="D177" i="27"/>
  <c r="D176" i="27"/>
  <c r="D169" i="27"/>
  <c r="D168" i="27"/>
  <c r="G6" i="27"/>
  <c r="D180" i="27" l="1"/>
  <c r="M5" i="27"/>
  <c r="D23" i="27" s="1"/>
  <c r="M12" i="27"/>
  <c r="M19" i="27" s="1"/>
  <c r="M9" i="27"/>
  <c r="M4" i="27"/>
  <c r="M22" i="27" s="1"/>
  <c r="M13" i="27"/>
  <c r="M20" i="27" s="1"/>
  <c r="M11" i="27"/>
  <c r="M8" i="27"/>
  <c r="M17" i="27" s="1"/>
  <c r="M7" i="27"/>
  <c r="M6" i="27"/>
  <c r="M10" i="27"/>
  <c r="J29" i="25"/>
  <c r="J28" i="25"/>
  <c r="J27" i="25"/>
  <c r="J26" i="25"/>
  <c r="C3" i="33"/>
  <c r="D22" i="27" l="1"/>
  <c r="J31" i="25"/>
  <c r="J39" i="33"/>
  <c r="C8" i="33" s="1"/>
  <c r="R31" i="33"/>
  <c r="F7" i="33" s="1"/>
  <c r="F10" i="33" s="1"/>
  <c r="P31" i="33"/>
  <c r="E7" i="33" s="1"/>
  <c r="L31" i="33"/>
  <c r="J31" i="33"/>
  <c r="C7" i="33" s="1"/>
  <c r="D31" i="33"/>
  <c r="A7" i="33" s="1"/>
  <c r="G31" i="33"/>
  <c r="F8" i="33" l="1"/>
  <c r="F9" i="33" s="1"/>
  <c r="F11" i="33" s="1"/>
  <c r="D7" i="33"/>
  <c r="B7" i="33"/>
  <c r="F6" i="24"/>
  <c r="B67" i="27" l="1"/>
  <c r="E2" i="24" l="1"/>
  <c r="F57" i="27" l="1"/>
  <c r="G57" i="27"/>
  <c r="E57" i="27"/>
  <c r="A57" i="27" s="1"/>
  <c r="D57" i="27"/>
  <c r="E90" i="27"/>
  <c r="A90" i="27" s="1"/>
  <c r="E87" i="27"/>
  <c r="A87" i="27" s="1"/>
  <c r="E83" i="27"/>
  <c r="A83" i="27" s="1"/>
  <c r="B76" i="27"/>
  <c r="E75" i="27"/>
  <c r="B75" i="27"/>
  <c r="E74" i="27"/>
  <c r="B74" i="27"/>
  <c r="B73" i="27"/>
  <c r="B72" i="27"/>
  <c r="E71" i="27"/>
  <c r="B71" i="27"/>
  <c r="AB70" i="27"/>
  <c r="B70" i="27"/>
  <c r="B69" i="27"/>
  <c r="B68" i="27"/>
  <c r="B66" i="27"/>
  <c r="AJ58" i="27"/>
  <c r="AI58" i="27"/>
  <c r="AH58" i="27"/>
  <c r="J11" i="27"/>
  <c r="I11" i="27"/>
  <c r="H11" i="27"/>
  <c r="G11" i="27"/>
  <c r="V9" i="27"/>
  <c r="U9" i="27"/>
  <c r="T9" i="27"/>
  <c r="S9" i="27"/>
  <c r="M18" i="27" s="1"/>
  <c r="J6" i="27"/>
  <c r="I6" i="27"/>
  <c r="H6" i="27"/>
  <c r="N6" i="27" s="1"/>
  <c r="E24" i="27" s="1"/>
  <c r="D21" i="27"/>
  <c r="D3" i="24"/>
  <c r="AL81" i="27" l="1"/>
  <c r="AL89" i="27"/>
  <c r="AL73" i="27"/>
  <c r="AL97" i="27"/>
  <c r="AL100" i="27"/>
  <c r="AL84" i="27"/>
  <c r="AL87" i="27"/>
  <c r="AL71" i="27"/>
  <c r="AL94" i="27"/>
  <c r="AL86" i="27"/>
  <c r="AL78" i="27"/>
  <c r="AL70" i="27"/>
  <c r="AL80" i="27"/>
  <c r="AL93" i="27"/>
  <c r="AL66" i="27"/>
  <c r="AG66" i="27" s="1"/>
  <c r="AL85" i="27"/>
  <c r="AL92" i="27"/>
  <c r="AL95" i="27"/>
  <c r="AL79" i="27"/>
  <c r="AL90" i="27"/>
  <c r="AL82" i="27"/>
  <c r="AL74" i="27"/>
  <c r="AL72" i="27"/>
  <c r="AL88" i="27"/>
  <c r="AL91" i="27"/>
  <c r="AL75" i="27"/>
  <c r="AL68" i="27"/>
  <c r="AL101" i="27"/>
  <c r="AL96" i="27"/>
  <c r="AL99" i="27"/>
  <c r="AL83" i="27"/>
  <c r="AL67" i="27"/>
  <c r="AL98" i="27"/>
  <c r="AL76" i="27"/>
  <c r="AL77" i="27"/>
  <c r="AL69" i="27"/>
  <c r="AM97" i="27"/>
  <c r="AM81" i="27"/>
  <c r="AM98" i="27"/>
  <c r="AM92" i="27"/>
  <c r="AM76" i="27"/>
  <c r="AM95" i="27"/>
  <c r="AM79" i="27"/>
  <c r="AM89" i="27"/>
  <c r="AM85" i="27"/>
  <c r="AM77" i="27"/>
  <c r="AM100" i="27"/>
  <c r="AM84" i="27"/>
  <c r="AM68" i="27"/>
  <c r="AM87" i="27"/>
  <c r="AM71" i="27"/>
  <c r="AM73" i="27"/>
  <c r="AM94" i="27"/>
  <c r="AM86" i="27"/>
  <c r="AM78" i="27"/>
  <c r="AM70" i="27"/>
  <c r="AM69" i="27"/>
  <c r="AM66" i="27"/>
  <c r="AM96" i="27"/>
  <c r="AM80" i="27"/>
  <c r="AM99" i="27"/>
  <c r="AM83" i="27"/>
  <c r="AM67" i="27"/>
  <c r="AM90" i="27"/>
  <c r="AM82" i="27"/>
  <c r="AM74" i="27"/>
  <c r="AM101" i="27"/>
  <c r="AM93" i="27"/>
  <c r="AM88" i="27"/>
  <c r="AM72" i="27"/>
  <c r="AM91" i="27"/>
  <c r="AM75" i="27"/>
  <c r="F15" i="55"/>
  <c r="F20" i="55"/>
  <c r="P11" i="27"/>
  <c r="P18" i="27" s="1"/>
  <c r="P12" i="27"/>
  <c r="P19" i="27" s="1"/>
  <c r="P13" i="27"/>
  <c r="P20" i="27" s="1"/>
  <c r="P10" i="27"/>
  <c r="G17" i="27" s="1"/>
  <c r="P7" i="27"/>
  <c r="P8" i="27"/>
  <c r="P6" i="27"/>
  <c r="P5" i="27"/>
  <c r="G23" i="27" s="1"/>
  <c r="P9" i="27"/>
  <c r="P4" i="27"/>
  <c r="P22" i="27" s="1"/>
  <c r="AL107" i="27"/>
  <c r="AL112" i="27"/>
  <c r="AL118" i="27"/>
  <c r="AL109" i="27"/>
  <c r="AG109" i="27" s="1"/>
  <c r="F109" i="27" s="1"/>
  <c r="AL103" i="27"/>
  <c r="AG103" i="27" s="1"/>
  <c r="F103" i="27" s="1"/>
  <c r="AL110" i="27"/>
  <c r="AL102" i="27"/>
  <c r="AL115" i="27"/>
  <c r="AL104" i="27"/>
  <c r="AG104" i="27" s="1"/>
  <c r="F104" i="27" s="1"/>
  <c r="AL119" i="27"/>
  <c r="AG119" i="27" s="1"/>
  <c r="F119" i="27" s="1"/>
  <c r="AL114" i="27"/>
  <c r="AG114" i="27" s="1"/>
  <c r="F114" i="27" s="1"/>
  <c r="AL106" i="27"/>
  <c r="AL111" i="27"/>
  <c r="AG111" i="27" s="1"/>
  <c r="F111" i="27" s="1"/>
  <c r="AL121" i="27"/>
  <c r="AL108" i="27"/>
  <c r="AL113" i="27"/>
  <c r="AL116" i="27"/>
  <c r="AG116" i="27" s="1"/>
  <c r="F116" i="27" s="1"/>
  <c r="AL105" i="27"/>
  <c r="AL117" i="27"/>
  <c r="AG117" i="27" s="1"/>
  <c r="F117" i="27" s="1"/>
  <c r="AL120" i="27"/>
  <c r="O13" i="27"/>
  <c r="O20" i="27" s="1"/>
  <c r="O12" i="27"/>
  <c r="O19" i="27" s="1"/>
  <c r="O11" i="27"/>
  <c r="O18" i="27" s="1"/>
  <c r="O6" i="27"/>
  <c r="F24" i="27" s="1"/>
  <c r="O5" i="27"/>
  <c r="O8" i="27"/>
  <c r="O7" i="27"/>
  <c r="O4" i="27"/>
  <c r="O22" i="27" s="1"/>
  <c r="O9" i="27"/>
  <c r="O10" i="27"/>
  <c r="AM113" i="27"/>
  <c r="AM119" i="27"/>
  <c r="AH119" i="27" s="1"/>
  <c r="G119" i="27" s="1"/>
  <c r="AM116" i="27"/>
  <c r="AH116" i="27" s="1"/>
  <c r="G116" i="27" s="1"/>
  <c r="AM105" i="27"/>
  <c r="AM120" i="27"/>
  <c r="AM107" i="27"/>
  <c r="AM112" i="27"/>
  <c r="AM118" i="27"/>
  <c r="AM117" i="27"/>
  <c r="AH117" i="27" s="1"/>
  <c r="G117" i="27" s="1"/>
  <c r="AM103" i="27"/>
  <c r="AM110" i="27"/>
  <c r="AM102" i="27"/>
  <c r="AM115" i="27"/>
  <c r="AM104" i="27"/>
  <c r="AM109" i="27"/>
  <c r="AH109" i="27" s="1"/>
  <c r="G109" i="27" s="1"/>
  <c r="AM114" i="27"/>
  <c r="AM106" i="27"/>
  <c r="AM111" i="27"/>
  <c r="AM121" i="27"/>
  <c r="AM108" i="27"/>
  <c r="N13" i="27"/>
  <c r="N20" i="27" s="1"/>
  <c r="E21" i="27" s="1"/>
  <c r="N12" i="27"/>
  <c r="N19" i="27" s="1"/>
  <c r="N11" i="27"/>
  <c r="N18" i="27" s="1"/>
  <c r="E18" i="27" s="1"/>
  <c r="N9" i="27"/>
  <c r="E16" i="27" s="1"/>
  <c r="N10" i="27"/>
  <c r="E17" i="27" s="1"/>
  <c r="N7" i="27"/>
  <c r="E25" i="27" s="1"/>
  <c r="N8" i="27"/>
  <c r="N17" i="27" s="1"/>
  <c r="E27" i="27" s="1"/>
  <c r="N4" i="27"/>
  <c r="N22" i="27" s="1"/>
  <c r="N5" i="27"/>
  <c r="E23" i="27" s="1"/>
  <c r="AJ110" i="27"/>
  <c r="AE110" i="27" s="1"/>
  <c r="D110" i="27" s="1"/>
  <c r="AJ102" i="27"/>
  <c r="AE102" i="27" s="1"/>
  <c r="D102" i="27" s="1"/>
  <c r="AJ111" i="27"/>
  <c r="AE111" i="27" s="1"/>
  <c r="D111" i="27" s="1"/>
  <c r="AJ104" i="27"/>
  <c r="AE104" i="27" s="1"/>
  <c r="D104" i="27" s="1"/>
  <c r="AJ121" i="27"/>
  <c r="AE121" i="27" s="1"/>
  <c r="AJ117" i="27"/>
  <c r="AE117" i="27" s="1"/>
  <c r="D117" i="27" s="1"/>
  <c r="AJ113" i="27"/>
  <c r="AE113" i="27" s="1"/>
  <c r="D113" i="27" s="1"/>
  <c r="AJ114" i="27"/>
  <c r="AE114" i="27" s="1"/>
  <c r="D114" i="27" s="1"/>
  <c r="AJ106" i="27"/>
  <c r="AE106" i="27" s="1"/>
  <c r="D106" i="27" s="1"/>
  <c r="AJ105" i="27"/>
  <c r="AE105" i="27" s="1"/>
  <c r="D105" i="27" s="1"/>
  <c r="AE101" i="27"/>
  <c r="D101" i="27" s="1"/>
  <c r="AJ109" i="27"/>
  <c r="AE109" i="27" s="1"/>
  <c r="D109" i="27" s="1"/>
  <c r="AJ108" i="27"/>
  <c r="AE108" i="27" s="1"/>
  <c r="D108" i="27" s="1"/>
  <c r="AJ107" i="27"/>
  <c r="AE107" i="27" s="1"/>
  <c r="D107" i="27" s="1"/>
  <c r="AJ116" i="27"/>
  <c r="AE116" i="27" s="1"/>
  <c r="D116" i="27" s="1"/>
  <c r="AJ120" i="27"/>
  <c r="AE120" i="27" s="1"/>
  <c r="D120" i="27" s="1"/>
  <c r="AJ103" i="27"/>
  <c r="AE103" i="27" s="1"/>
  <c r="D103" i="27" s="1"/>
  <c r="AJ119" i="27"/>
  <c r="AE119" i="27" s="1"/>
  <c r="D119" i="27" s="1"/>
  <c r="AJ112" i="27"/>
  <c r="AE112" i="27" s="1"/>
  <c r="D112" i="27" s="1"/>
  <c r="AJ115" i="27"/>
  <c r="AE115" i="27" s="1"/>
  <c r="D115" i="27" s="1"/>
  <c r="AJ118" i="27"/>
  <c r="AE118" i="27" s="1"/>
  <c r="D118" i="27" s="1"/>
  <c r="A75" i="27"/>
  <c r="D436" i="37" s="1"/>
  <c r="CE9" i="45" s="1"/>
  <c r="A71" i="27"/>
  <c r="A74" i="27"/>
  <c r="D255" i="37" s="1"/>
  <c r="AW9" i="45" s="1"/>
  <c r="AF70" i="27"/>
  <c r="E70" i="27" s="1"/>
  <c r="A70" i="27" s="1"/>
  <c r="E86" i="27"/>
  <c r="A86" i="27" s="1"/>
  <c r="D529" i="37" s="1"/>
  <c r="CW10" i="45" s="1"/>
  <c r="AE98" i="27"/>
  <c r="D98" i="27" s="1"/>
  <c r="O14" i="27"/>
  <c r="O21" i="27" s="1"/>
  <c r="F20" i="27" s="1"/>
  <c r="F23" i="27"/>
  <c r="E26" i="27"/>
  <c r="N14" i="27"/>
  <c r="G21" i="27"/>
  <c r="AE84" i="27"/>
  <c r="F61" i="27"/>
  <c r="E61" i="27"/>
  <c r="A61" i="27" s="1"/>
  <c r="D61" i="27"/>
  <c r="G61" i="27"/>
  <c r="F60" i="27"/>
  <c r="E60" i="27"/>
  <c r="A60" i="27" s="1"/>
  <c r="D60" i="27"/>
  <c r="G60" i="27"/>
  <c r="D59" i="27"/>
  <c r="F59" i="27"/>
  <c r="E59" i="27"/>
  <c r="A59" i="27" s="1"/>
  <c r="G59" i="27"/>
  <c r="G58" i="27"/>
  <c r="F58" i="27"/>
  <c r="E58" i="27"/>
  <c r="A58" i="27" s="1"/>
  <c r="D58" i="27"/>
  <c r="P17" i="27"/>
  <c r="G27" i="27" s="1"/>
  <c r="AJ79" i="27"/>
  <c r="P14" i="27"/>
  <c r="P21" i="27" s="1"/>
  <c r="G20" i="27" s="1"/>
  <c r="AJ72" i="27"/>
  <c r="AJ78" i="27"/>
  <c r="AJ82" i="27"/>
  <c r="G24" i="27"/>
  <c r="AJ88" i="27"/>
  <c r="AJ76" i="27"/>
  <c r="AJ87" i="27"/>
  <c r="G19" i="27"/>
  <c r="AJ71" i="27"/>
  <c r="AJ91" i="27"/>
  <c r="AJ68" i="27"/>
  <c r="D24" i="27"/>
  <c r="D27" i="27"/>
  <c r="D17" i="27"/>
  <c r="D19" i="27"/>
  <c r="M14" i="27"/>
  <c r="M21" i="27" s="1"/>
  <c r="D20" i="27" s="1"/>
  <c r="D25" i="27"/>
  <c r="D16" i="27"/>
  <c r="D18" i="27"/>
  <c r="G25" i="27"/>
  <c r="G16" i="27"/>
  <c r="G18" i="27"/>
  <c r="E66" i="27"/>
  <c r="A66" i="27" s="1"/>
  <c r="E68" i="27"/>
  <c r="E69" i="27"/>
  <c r="A69" i="27" s="1"/>
  <c r="E81" i="27"/>
  <c r="A81" i="27" s="1"/>
  <c r="E85" i="27"/>
  <c r="A85" i="27" s="1"/>
  <c r="E19" i="27"/>
  <c r="E73" i="27"/>
  <c r="A73" i="27" s="1"/>
  <c r="D254" i="37" s="1"/>
  <c r="AW8" i="45" s="1"/>
  <c r="E77" i="27"/>
  <c r="A77" i="27" s="1"/>
  <c r="D627" i="37" s="1"/>
  <c r="DM8" i="45" s="1"/>
  <c r="E89" i="27"/>
  <c r="A89" i="27" s="1"/>
  <c r="F25" i="27"/>
  <c r="O17" i="27"/>
  <c r="F27" i="27" s="1"/>
  <c r="F16" i="27"/>
  <c r="F17" i="27"/>
  <c r="F18" i="27"/>
  <c r="F19" i="27"/>
  <c r="F21" i="27"/>
  <c r="F66" i="27"/>
  <c r="E67" i="27"/>
  <c r="E76" i="27"/>
  <c r="A76" i="27" s="1"/>
  <c r="D437" i="37" s="1"/>
  <c r="CE10" i="45" s="1"/>
  <c r="E78" i="27"/>
  <c r="A78" i="27" s="1"/>
  <c r="E80" i="27"/>
  <c r="A80" i="27" s="1"/>
  <c r="E82" i="27"/>
  <c r="A82" i="27" s="1"/>
  <c r="E92" i="27"/>
  <c r="A92" i="27" s="1"/>
  <c r="AJ70" i="27"/>
  <c r="E84" i="27"/>
  <c r="A84" i="27" s="1"/>
  <c r="AJ73" i="27"/>
  <c r="AJ69" i="27"/>
  <c r="E72" i="27"/>
  <c r="AJ74" i="27"/>
  <c r="AJ75" i="27"/>
  <c r="E88" i="27"/>
  <c r="A88" i="27" s="1"/>
  <c r="E91" i="27"/>
  <c r="A91" i="27" s="1"/>
  <c r="F20" i="56" l="1"/>
  <c r="AG99" i="27"/>
  <c r="F99" i="27" s="1"/>
  <c r="AH99" i="27"/>
  <c r="G99" i="27" s="1"/>
  <c r="AH84" i="27"/>
  <c r="AG84" i="27"/>
  <c r="E33" i="27"/>
  <c r="A33" i="27" s="1"/>
  <c r="F15" i="56"/>
  <c r="F5" i="55"/>
  <c r="D970" i="37"/>
  <c r="GC6" i="45" s="1"/>
  <c r="D626" i="37"/>
  <c r="DM7" i="45" s="1"/>
  <c r="D811" i="37"/>
  <c r="EU7" i="45" s="1"/>
  <c r="D812" i="37"/>
  <c r="EV2" i="45" s="1"/>
  <c r="D810" i="37"/>
  <c r="EU6" i="45" s="1"/>
  <c r="D256" i="37"/>
  <c r="AW10" i="45" s="1"/>
  <c r="D630" i="37"/>
  <c r="DN4" i="45" s="1"/>
  <c r="D628" i="37"/>
  <c r="DN2" i="45" s="1"/>
  <c r="D625" i="37"/>
  <c r="DM6" i="45" s="1"/>
  <c r="D252" i="37"/>
  <c r="AW6" i="45" s="1"/>
  <c r="D38" i="37"/>
  <c r="I2" i="45" s="1"/>
  <c r="D156" i="37"/>
  <c r="AG3" i="45" s="1"/>
  <c r="D39" i="37"/>
  <c r="I3" i="45" s="1"/>
  <c r="F25" i="25"/>
  <c r="AJ96" i="27"/>
  <c r="AE96" i="27" s="1"/>
  <c r="D96" i="27" s="1"/>
  <c r="AJ89" i="27"/>
  <c r="AE89" i="27" s="1"/>
  <c r="D89" i="27" s="1"/>
  <c r="AJ81" i="27"/>
  <c r="AE81" i="27" s="1"/>
  <c r="D81" i="27" s="1"/>
  <c r="AJ100" i="27"/>
  <c r="AE100" i="27" s="1"/>
  <c r="D100" i="27" s="1"/>
  <c r="AJ92" i="27"/>
  <c r="AE92" i="27" s="1"/>
  <c r="D92" i="27" s="1"/>
  <c r="AJ80" i="27"/>
  <c r="AE80" i="27" s="1"/>
  <c r="D80" i="27" s="1"/>
  <c r="AJ85" i="27"/>
  <c r="AE85" i="27" s="1"/>
  <c r="D85" i="27" s="1"/>
  <c r="AJ95" i="27"/>
  <c r="AE95" i="27" s="1"/>
  <c r="D95" i="27" s="1"/>
  <c r="AJ86" i="27"/>
  <c r="AE86" i="27" s="1"/>
  <c r="D86" i="27" s="1"/>
  <c r="AJ83" i="27"/>
  <c r="AJ97" i="27"/>
  <c r="AE97" i="27" s="1"/>
  <c r="D97" i="27" s="1"/>
  <c r="AJ94" i="27"/>
  <c r="AE94" i="27" s="1"/>
  <c r="D94" i="27" s="1"/>
  <c r="AJ90" i="27"/>
  <c r="AE90" i="27" s="1"/>
  <c r="D90" i="27" s="1"/>
  <c r="AJ77" i="27"/>
  <c r="AE77" i="27" s="1"/>
  <c r="D77" i="27" s="1"/>
  <c r="AJ67" i="27"/>
  <c r="F5" i="56"/>
  <c r="F10" i="55"/>
  <c r="F10" i="56"/>
  <c r="G5" i="58"/>
  <c r="G10" i="58"/>
  <c r="G25" i="58"/>
  <c r="G40" i="58"/>
  <c r="G15" i="58"/>
  <c r="G20" i="58"/>
  <c r="G30" i="58"/>
  <c r="G35" i="58"/>
  <c r="G5" i="56"/>
  <c r="G30" i="56"/>
  <c r="G25" i="56"/>
  <c r="G10" i="56"/>
  <c r="G40" i="56"/>
  <c r="G20" i="56"/>
  <c r="G15" i="56"/>
  <c r="G35" i="56"/>
  <c r="G15" i="55"/>
  <c r="G40" i="55"/>
  <c r="G30" i="55"/>
  <c r="G10" i="55"/>
  <c r="G5" i="55"/>
  <c r="G20" i="55"/>
  <c r="G25" i="55"/>
  <c r="G35" i="55"/>
  <c r="F10" i="25"/>
  <c r="F40" i="25"/>
  <c r="F35" i="25"/>
  <c r="F15" i="25"/>
  <c r="F20" i="25"/>
  <c r="F5" i="25"/>
  <c r="F30" i="25"/>
  <c r="AH111" i="27"/>
  <c r="G111" i="27" s="1"/>
  <c r="AH104" i="27"/>
  <c r="G104" i="27" s="1"/>
  <c r="AH103" i="27"/>
  <c r="G103" i="27" s="1"/>
  <c r="A234" i="27"/>
  <c r="AH114" i="27"/>
  <c r="G114" i="27" s="1"/>
  <c r="N21" i="27"/>
  <c r="E20" i="27" s="1"/>
  <c r="AG120" i="27"/>
  <c r="F120" i="27" s="1"/>
  <c r="AH120" i="27"/>
  <c r="G120" i="27" s="1"/>
  <c r="AG113" i="27"/>
  <c r="F113" i="27" s="1"/>
  <c r="AH113" i="27"/>
  <c r="G113" i="27" s="1"/>
  <c r="AG107" i="27"/>
  <c r="F107" i="27" s="1"/>
  <c r="AH107" i="27"/>
  <c r="G107" i="27" s="1"/>
  <c r="AG108" i="27"/>
  <c r="F108" i="27" s="1"/>
  <c r="AH108" i="27"/>
  <c r="G108" i="27" s="1"/>
  <c r="AH106" i="27"/>
  <c r="G106" i="27" s="1"/>
  <c r="AG106" i="27"/>
  <c r="F106" i="27" s="1"/>
  <c r="AG115" i="27"/>
  <c r="F115" i="27" s="1"/>
  <c r="AH115" i="27"/>
  <c r="G115" i="27" s="1"/>
  <c r="AG105" i="27"/>
  <c r="F105" i="27" s="1"/>
  <c r="AH105" i="27"/>
  <c r="G105" i="27" s="1"/>
  <c r="AG101" i="27"/>
  <c r="F101" i="27" s="1"/>
  <c r="AH101" i="27"/>
  <c r="G101" i="27" s="1"/>
  <c r="AG102" i="27"/>
  <c r="F102" i="27" s="1"/>
  <c r="AH102" i="27"/>
  <c r="G102" i="27" s="1"/>
  <c r="AH118" i="27"/>
  <c r="G118" i="27" s="1"/>
  <c r="AG118" i="27"/>
  <c r="F118" i="27" s="1"/>
  <c r="AG121" i="27"/>
  <c r="AH121" i="27"/>
  <c r="AG110" i="27"/>
  <c r="F110" i="27" s="1"/>
  <c r="AH110" i="27"/>
  <c r="G110" i="27" s="1"/>
  <c r="AG112" i="27"/>
  <c r="F112" i="27" s="1"/>
  <c r="AH112" i="27"/>
  <c r="G112" i="27" s="1"/>
  <c r="D209" i="27"/>
  <c r="D135" i="27"/>
  <c r="D133" i="27"/>
  <c r="D136" i="27"/>
  <c r="D134" i="27"/>
  <c r="G10" i="25"/>
  <c r="G15" i="25"/>
  <c r="G35" i="25"/>
  <c r="A68" i="27"/>
  <c r="D435" i="37" s="1"/>
  <c r="CE8" i="45" s="1"/>
  <c r="G25" i="25"/>
  <c r="G20" i="25"/>
  <c r="G40" i="25"/>
  <c r="A72" i="27"/>
  <c r="D253" i="37" s="1"/>
  <c r="AW7" i="45" s="1"/>
  <c r="A67" i="27"/>
  <c r="G5" i="25"/>
  <c r="G30" i="25"/>
  <c r="D212" i="27"/>
  <c r="D204" i="27"/>
  <c r="D213" i="27"/>
  <c r="D208" i="27"/>
  <c r="D203" i="27"/>
  <c r="D207" i="27"/>
  <c r="D215" i="27"/>
  <c r="D214" i="27"/>
  <c r="D222" i="27"/>
  <c r="D199" i="27"/>
  <c r="D218" i="27"/>
  <c r="D200" i="27"/>
  <c r="D217" i="27"/>
  <c r="D196" i="27"/>
  <c r="D221" i="27"/>
  <c r="D220" i="27"/>
  <c r="D202" i="27"/>
  <c r="D219" i="27"/>
  <c r="D205" i="27"/>
  <c r="D210" i="27"/>
  <c r="D206" i="27"/>
  <c r="D198" i="27"/>
  <c r="D211" i="27"/>
  <c r="D201" i="27"/>
  <c r="D197" i="27"/>
  <c r="D216" i="27"/>
  <c r="A243" i="27"/>
  <c r="A236" i="27"/>
  <c r="D84" i="27"/>
  <c r="AG98" i="27"/>
  <c r="F98" i="27" s="1"/>
  <c r="AH98" i="27"/>
  <c r="G98" i="27" s="1"/>
  <c r="AH93" i="27"/>
  <c r="G93" i="27" s="1"/>
  <c r="AG93" i="27"/>
  <c r="F93" i="27" s="1"/>
  <c r="AE93" i="27"/>
  <c r="D93" i="27" s="1"/>
  <c r="AE68" i="27"/>
  <c r="D68" i="27" s="1"/>
  <c r="AE72" i="27"/>
  <c r="D72" i="27" s="1"/>
  <c r="AE71" i="27"/>
  <c r="D71" i="27" s="1"/>
  <c r="AE83" i="27"/>
  <c r="D83" i="27" s="1"/>
  <c r="D66" i="27"/>
  <c r="AG67" i="27"/>
  <c r="F67" i="27" s="1"/>
  <c r="AE67" i="27"/>
  <c r="D67" i="27" s="1"/>
  <c r="AE76" i="27"/>
  <c r="D76" i="27" s="1"/>
  <c r="F22" i="27"/>
  <c r="E22" i="27"/>
  <c r="E196" i="27" s="1"/>
  <c r="A196" i="27" s="1"/>
  <c r="G22" i="27"/>
  <c r="G135" i="27" s="1"/>
  <c r="A235" i="27"/>
  <c r="D26" i="27"/>
  <c r="D45" i="27"/>
  <c r="D40" i="27"/>
  <c r="AG71" i="27"/>
  <c r="F71" i="27" s="1"/>
  <c r="AG68" i="27"/>
  <c r="F68" i="27" s="1"/>
  <c r="AG72" i="27"/>
  <c r="F72" i="27" s="1"/>
  <c r="G33" i="27"/>
  <c r="AH66" i="27"/>
  <c r="D140" i="27"/>
  <c r="D132" i="27"/>
  <c r="D139" i="27"/>
  <c r="D131" i="27"/>
  <c r="D138" i="27"/>
  <c r="D130" i="27"/>
  <c r="D141" i="27"/>
  <c r="D137" i="27"/>
  <c r="D129" i="27"/>
  <c r="D33" i="27"/>
  <c r="D32" i="27"/>
  <c r="D35" i="27"/>
  <c r="D34" i="27"/>
  <c r="AE69" i="27"/>
  <c r="D69" i="27" s="1"/>
  <c r="AE70" i="27"/>
  <c r="D70" i="27" s="1"/>
  <c r="F33" i="27"/>
  <c r="G42" i="27"/>
  <c r="D42" i="27"/>
  <c r="D44" i="27"/>
  <c r="AE75" i="27"/>
  <c r="D75" i="27" s="1"/>
  <c r="AE73" i="27"/>
  <c r="D73" i="27" s="1"/>
  <c r="F42" i="27"/>
  <c r="E42" i="27"/>
  <c r="A42" i="27" s="1"/>
  <c r="D43" i="27"/>
  <c r="AE74" i="27"/>
  <c r="D74" i="27" s="1"/>
  <c r="D41" i="27"/>
  <c r="E6" i="57" l="1"/>
  <c r="E32" i="27"/>
  <c r="E7" i="57"/>
  <c r="J7" i="56"/>
  <c r="J10" i="56"/>
  <c r="E13" i="57"/>
  <c r="J6" i="56"/>
  <c r="E15" i="57"/>
  <c r="E17" i="57"/>
  <c r="D439" i="37"/>
  <c r="CF2" i="45" s="1"/>
  <c r="D434" i="37"/>
  <c r="CE7" i="45" s="1"/>
  <c r="J5" i="56"/>
  <c r="J2" i="56"/>
  <c r="J3" i="56"/>
  <c r="J4" i="25"/>
  <c r="J2" i="25"/>
  <c r="J13" i="25"/>
  <c r="J11" i="25"/>
  <c r="J5" i="25"/>
  <c r="E16" i="57"/>
  <c r="J4" i="56"/>
  <c r="E9" i="57"/>
  <c r="E8" i="57"/>
  <c r="E14" i="57"/>
  <c r="E12" i="57"/>
  <c r="E18" i="57"/>
  <c r="J3" i="25"/>
  <c r="J14" i="25"/>
  <c r="J7" i="25"/>
  <c r="J6" i="25"/>
  <c r="J9" i="25"/>
  <c r="E11" i="57"/>
  <c r="E5" i="57"/>
  <c r="E2" i="57"/>
  <c r="J12" i="25"/>
  <c r="J10" i="25"/>
  <c r="J8" i="25"/>
  <c r="G133" i="27"/>
  <c r="E40" i="27"/>
  <c r="G137" i="27"/>
  <c r="G136" i="27"/>
  <c r="E45" i="27"/>
  <c r="F136" i="27"/>
  <c r="E130" i="27"/>
  <c r="A130" i="27" s="1"/>
  <c r="E135" i="27"/>
  <c r="A135" i="27" s="1"/>
  <c r="F135" i="27"/>
  <c r="E134" i="27"/>
  <c r="E136" i="27"/>
  <c r="A136" i="27" s="1"/>
  <c r="F133" i="27"/>
  <c r="G140" i="27"/>
  <c r="G134" i="27"/>
  <c r="E137" i="27"/>
  <c r="E133" i="27"/>
  <c r="A133" i="27" s="1"/>
  <c r="F134" i="27"/>
  <c r="E129" i="27"/>
  <c r="E131" i="27"/>
  <c r="A131" i="27" s="1"/>
  <c r="E132" i="27"/>
  <c r="A132" i="27" s="1"/>
  <c r="D205" i="37"/>
  <c r="AO2" i="45" s="1"/>
  <c r="E222" i="27"/>
  <c r="A222" i="27" s="1"/>
  <c r="J15" i="25"/>
  <c r="J16" i="25"/>
  <c r="E210" i="27"/>
  <c r="A210" i="27" s="1"/>
  <c r="G209" i="27"/>
  <c r="E209" i="27"/>
  <c r="A209" i="27" s="1"/>
  <c r="F209" i="27"/>
  <c r="G196" i="27"/>
  <c r="E202" i="27"/>
  <c r="A202" i="27" s="1"/>
  <c r="F215" i="27"/>
  <c r="E212" i="27"/>
  <c r="A212" i="27" s="1"/>
  <c r="F197" i="27"/>
  <c r="G198" i="27"/>
  <c r="G202" i="27"/>
  <c r="G213" i="27"/>
  <c r="E204" i="27"/>
  <c r="A204" i="27" s="1"/>
  <c r="F206" i="27"/>
  <c r="G222" i="27"/>
  <c r="F208" i="27"/>
  <c r="E200" i="27"/>
  <c r="A200" i="27" s="1"/>
  <c r="G207" i="27"/>
  <c r="F198" i="27"/>
  <c r="F217" i="27"/>
  <c r="F213" i="27"/>
  <c r="E201" i="27"/>
  <c r="A201" i="27" s="1"/>
  <c r="G206" i="27"/>
  <c r="G197" i="27"/>
  <c r="F210" i="27"/>
  <c r="G219" i="27"/>
  <c r="G214" i="27"/>
  <c r="G201" i="27"/>
  <c r="F222" i="27"/>
  <c r="F211" i="27"/>
  <c r="G200" i="27"/>
  <c r="F212" i="27"/>
  <c r="F196" i="27"/>
  <c r="G203" i="27"/>
  <c r="F221" i="27"/>
  <c r="E206" i="27"/>
  <c r="A206" i="27" s="1"/>
  <c r="E215" i="27"/>
  <c r="A215" i="27" s="1"/>
  <c r="D694" i="37" s="1"/>
  <c r="EB7" i="45" s="1"/>
  <c r="E218" i="27"/>
  <c r="A218" i="27" s="1"/>
  <c r="E214" i="27"/>
  <c r="A214" i="27" s="1"/>
  <c r="E220" i="27"/>
  <c r="A220" i="27" s="1"/>
  <c r="E213" i="27"/>
  <c r="A213" i="27" s="1"/>
  <c r="D693" i="37" s="1"/>
  <c r="EB6" i="45" s="1"/>
  <c r="F219" i="27"/>
  <c r="F205" i="27"/>
  <c r="G218" i="27"/>
  <c r="F218" i="27"/>
  <c r="F214" i="27"/>
  <c r="G205" i="27"/>
  <c r="F207" i="27"/>
  <c r="F201" i="27"/>
  <c r="F204" i="27"/>
  <c r="F203" i="27"/>
  <c r="G221" i="27"/>
  <c r="G220" i="27"/>
  <c r="G204" i="27"/>
  <c r="E197" i="27"/>
  <c r="A197" i="27" s="1"/>
  <c r="E219" i="27"/>
  <c r="A219" i="27" s="1"/>
  <c r="E211" i="27"/>
  <c r="A211" i="27" s="1"/>
  <c r="E199" i="27"/>
  <c r="A199" i="27" s="1"/>
  <c r="E203" i="27"/>
  <c r="A203" i="27" s="1"/>
  <c r="E217" i="27"/>
  <c r="A217" i="27" s="1"/>
  <c r="F202" i="27"/>
  <c r="G210" i="27"/>
  <c r="G211" i="27"/>
  <c r="G199" i="27"/>
  <c r="G216" i="27"/>
  <c r="F216" i="27"/>
  <c r="F199" i="27"/>
  <c r="G215" i="27"/>
  <c r="G208" i="27"/>
  <c r="F220" i="27"/>
  <c r="F200" i="27"/>
  <c r="G212" i="27"/>
  <c r="G217" i="27"/>
  <c r="E198" i="27"/>
  <c r="A198" i="27" s="1"/>
  <c r="E207" i="27"/>
  <c r="A207" i="27" s="1"/>
  <c r="E216" i="27"/>
  <c r="A216" i="27" s="1"/>
  <c r="E205" i="27"/>
  <c r="A205" i="27" s="1"/>
  <c r="E208" i="27"/>
  <c r="A208" i="27" s="1"/>
  <c r="E221" i="27"/>
  <c r="A221" i="27" s="1"/>
  <c r="E34" i="27"/>
  <c r="A34" i="27" s="1"/>
  <c r="F130" i="27"/>
  <c r="F45" i="27"/>
  <c r="AG86" i="27"/>
  <c r="F86" i="27" s="1"/>
  <c r="AH86" i="27"/>
  <c r="G86" i="27" s="1"/>
  <c r="AG95" i="27"/>
  <c r="F95" i="27" s="1"/>
  <c r="AH95" i="27"/>
  <c r="G95" i="27" s="1"/>
  <c r="AG90" i="27"/>
  <c r="F90" i="27" s="1"/>
  <c r="AH90" i="27"/>
  <c r="G90" i="27" s="1"/>
  <c r="AH87" i="27"/>
  <c r="G87" i="27" s="1"/>
  <c r="AG87" i="27"/>
  <c r="F87" i="27" s="1"/>
  <c r="AH83" i="27"/>
  <c r="G83" i="27" s="1"/>
  <c r="AG83" i="27"/>
  <c r="F83" i="27" s="1"/>
  <c r="AE87" i="27"/>
  <c r="D87" i="27" s="1"/>
  <c r="AH96" i="27"/>
  <c r="G96" i="27" s="1"/>
  <c r="AG96" i="27"/>
  <c r="F96" i="27" s="1"/>
  <c r="AE78" i="27"/>
  <c r="D78" i="27" s="1"/>
  <c r="AE91" i="27"/>
  <c r="D91" i="27" s="1"/>
  <c r="AH77" i="27"/>
  <c r="G77" i="27" s="1"/>
  <c r="AG77" i="27"/>
  <c r="F77" i="27" s="1"/>
  <c r="AG97" i="27"/>
  <c r="F97" i="27" s="1"/>
  <c r="AH97" i="27"/>
  <c r="G97" i="27" s="1"/>
  <c r="AG89" i="27"/>
  <c r="F89" i="27" s="1"/>
  <c r="AH89" i="27"/>
  <c r="G89" i="27" s="1"/>
  <c r="AH85" i="27"/>
  <c r="G85" i="27" s="1"/>
  <c r="AG85" i="27"/>
  <c r="F85" i="27" s="1"/>
  <c r="AG80" i="27"/>
  <c r="F80" i="27" s="1"/>
  <c r="AH80" i="27"/>
  <c r="G80" i="27" s="1"/>
  <c r="AG81" i="27"/>
  <c r="F81" i="27" s="1"/>
  <c r="AH81" i="27"/>
  <c r="G81" i="27" s="1"/>
  <c r="AH92" i="27"/>
  <c r="G92" i="27" s="1"/>
  <c r="AG92" i="27"/>
  <c r="F92" i="27" s="1"/>
  <c r="AH91" i="27"/>
  <c r="G91" i="27" s="1"/>
  <c r="AG91" i="27"/>
  <c r="F91" i="27" s="1"/>
  <c r="AG78" i="27"/>
  <c r="F78" i="27" s="1"/>
  <c r="AH78" i="27"/>
  <c r="G78" i="27" s="1"/>
  <c r="AG82" i="27"/>
  <c r="F82" i="27" s="1"/>
  <c r="AH82" i="27"/>
  <c r="G82" i="27" s="1"/>
  <c r="AE88" i="27"/>
  <c r="D88" i="27" s="1"/>
  <c r="AH94" i="27"/>
  <c r="G94" i="27" s="1"/>
  <c r="AG94" i="27"/>
  <c r="F94" i="27" s="1"/>
  <c r="AH76" i="27"/>
  <c r="G76" i="27" s="1"/>
  <c r="AG76" i="27"/>
  <c r="F76" i="27" s="1"/>
  <c r="AE82" i="27"/>
  <c r="D82" i="27" s="1"/>
  <c r="AG75" i="27"/>
  <c r="F75" i="27" s="1"/>
  <c r="AH75" i="27"/>
  <c r="G75" i="27" s="1"/>
  <c r="AH100" i="27"/>
  <c r="G100" i="27" s="1"/>
  <c r="AG100" i="27"/>
  <c r="F100" i="27" s="1"/>
  <c r="AH88" i="27"/>
  <c r="G88" i="27" s="1"/>
  <c r="AG88" i="27"/>
  <c r="F88" i="27" s="1"/>
  <c r="AH79" i="27"/>
  <c r="G79" i="27" s="1"/>
  <c r="AG79" i="27"/>
  <c r="F79" i="27" s="1"/>
  <c r="F84" i="27"/>
  <c r="G84" i="27"/>
  <c r="AE79" i="27"/>
  <c r="D79" i="27" s="1"/>
  <c r="G45" i="27"/>
  <c r="G141" i="27"/>
  <c r="F43" i="27"/>
  <c r="F131" i="27"/>
  <c r="F137" i="27"/>
  <c r="E35" i="27"/>
  <c r="A35" i="27" s="1"/>
  <c r="E140" i="27"/>
  <c r="A140" i="27" s="1"/>
  <c r="E139" i="27"/>
  <c r="A139" i="27" s="1"/>
  <c r="E44" i="27"/>
  <c r="A44" i="27" s="1"/>
  <c r="E41" i="27"/>
  <c r="A41" i="27" s="1"/>
  <c r="E141" i="27"/>
  <c r="A141" i="27" s="1"/>
  <c r="A134" i="27"/>
  <c r="E43" i="27"/>
  <c r="A43" i="27" s="1"/>
  <c r="A40" i="27"/>
  <c r="A32" i="27"/>
  <c r="A137" i="27"/>
  <c r="A129" i="27"/>
  <c r="E138" i="27"/>
  <c r="A138" i="27" s="1"/>
  <c r="A45" i="27"/>
  <c r="AH67" i="27"/>
  <c r="G67" i="27" s="1"/>
  <c r="F34" i="27"/>
  <c r="F132" i="27"/>
  <c r="F141" i="27"/>
  <c r="F44" i="27"/>
  <c r="F35" i="27"/>
  <c r="F41" i="27"/>
  <c r="F139" i="27"/>
  <c r="F129" i="27"/>
  <c r="F138" i="27"/>
  <c r="F32" i="27"/>
  <c r="F140" i="27"/>
  <c r="F40" i="27"/>
  <c r="G138" i="27"/>
  <c r="G40" i="27"/>
  <c r="G35" i="27"/>
  <c r="G129" i="27"/>
  <c r="G132" i="27"/>
  <c r="G44" i="27"/>
  <c r="G41" i="27"/>
  <c r="A245" i="27"/>
  <c r="A241" i="27"/>
  <c r="G34" i="27"/>
  <c r="G32" i="27"/>
  <c r="G43" i="27"/>
  <c r="G139" i="27"/>
  <c r="G131" i="27"/>
  <c r="G130" i="27"/>
  <c r="AH72" i="27"/>
  <c r="G72" i="27" s="1"/>
  <c r="D124" i="27"/>
  <c r="D237" i="27"/>
  <c r="G26" i="27"/>
  <c r="F26" i="27"/>
  <c r="E124" i="27"/>
  <c r="A124" i="27" s="1"/>
  <c r="F3" i="56" s="1"/>
  <c r="G66" i="27"/>
  <c r="AH71" i="27"/>
  <c r="G71" i="27" s="1"/>
  <c r="AH68" i="27"/>
  <c r="G68" i="27" s="1"/>
  <c r="AG69" i="27"/>
  <c r="F69" i="27" s="1"/>
  <c r="AH69" i="27"/>
  <c r="G69" i="27" s="1"/>
  <c r="AG74" i="27"/>
  <c r="F74" i="27" s="1"/>
  <c r="AH74" i="27"/>
  <c r="G74" i="27" s="1"/>
  <c r="AG70" i="27"/>
  <c r="F70" i="27" s="1"/>
  <c r="AH70" i="27"/>
  <c r="G70" i="27" s="1"/>
  <c r="AG73" i="27"/>
  <c r="F73" i="27" s="1"/>
  <c r="AH73" i="27"/>
  <c r="G73" i="27" s="1"/>
  <c r="F4" i="56" l="1"/>
  <c r="F8" i="56"/>
  <c r="F3" i="55"/>
  <c r="F17" i="56"/>
  <c r="F21" i="56" s="1"/>
  <c r="F14" i="56"/>
  <c r="F8" i="55"/>
  <c r="F13" i="55"/>
  <c r="F17" i="25"/>
  <c r="E21" i="57"/>
  <c r="E36" i="57" s="1"/>
  <c r="E37" i="57" s="1"/>
  <c r="F17" i="55"/>
  <c r="J18" i="56"/>
  <c r="F19" i="55"/>
  <c r="F14" i="55"/>
  <c r="F17" i="58"/>
  <c r="F21" i="58" s="1"/>
  <c r="F24" i="55"/>
  <c r="F9" i="55"/>
  <c r="F23" i="56"/>
  <c r="F26" i="56" s="1"/>
  <c r="F4" i="58"/>
  <c r="F39" i="56"/>
  <c r="F4" i="55"/>
  <c r="F9" i="56"/>
  <c r="G33" i="58"/>
  <c r="G28" i="58"/>
  <c r="G13" i="58"/>
  <c r="G38" i="58"/>
  <c r="G18" i="58"/>
  <c r="G23" i="58"/>
  <c r="G8" i="58"/>
  <c r="G3" i="58"/>
  <c r="G9" i="58"/>
  <c r="G39" i="58"/>
  <c r="G29" i="58"/>
  <c r="G24" i="58"/>
  <c r="G14" i="58"/>
  <c r="G34" i="58"/>
  <c r="G19" i="58"/>
  <c r="G4" i="58"/>
  <c r="G17" i="58"/>
  <c r="G27" i="58"/>
  <c r="G37" i="58"/>
  <c r="G22" i="58"/>
  <c r="G32" i="58"/>
  <c r="G17" i="56"/>
  <c r="G22" i="56"/>
  <c r="G27" i="56"/>
  <c r="G33" i="56"/>
  <c r="G28" i="56"/>
  <c r="G13" i="56"/>
  <c r="G18" i="56"/>
  <c r="G38" i="56"/>
  <c r="G23" i="56"/>
  <c r="G8" i="56"/>
  <c r="G3" i="56"/>
  <c r="G9" i="56"/>
  <c r="G39" i="56"/>
  <c r="G29" i="56"/>
  <c r="G24" i="56"/>
  <c r="G14" i="56"/>
  <c r="G34" i="56"/>
  <c r="G19" i="56"/>
  <c r="G4" i="56"/>
  <c r="G9" i="55"/>
  <c r="G39" i="55"/>
  <c r="G29" i="55"/>
  <c r="G24" i="55"/>
  <c r="G14" i="55"/>
  <c r="G4" i="55"/>
  <c r="G34" i="55"/>
  <c r="G19" i="55"/>
  <c r="G17" i="55"/>
  <c r="G32" i="55"/>
  <c r="G33" i="55"/>
  <c r="G28" i="55"/>
  <c r="G13" i="55"/>
  <c r="G38" i="55"/>
  <c r="G23" i="55"/>
  <c r="G8" i="55"/>
  <c r="G3" i="55"/>
  <c r="G18" i="55"/>
  <c r="F27" i="25"/>
  <c r="F22" i="25"/>
  <c r="D745" i="37"/>
  <c r="EK2" i="45" s="1"/>
  <c r="G8" i="25"/>
  <c r="F34" i="25"/>
  <c r="F39" i="25"/>
  <c r="F29" i="25"/>
  <c r="F19" i="25"/>
  <c r="F24" i="25"/>
  <c r="F14" i="25"/>
  <c r="A246" i="27"/>
  <c r="A233" i="27"/>
  <c r="A242" i="27"/>
  <c r="F4" i="25"/>
  <c r="G4" i="25"/>
  <c r="A244" i="27"/>
  <c r="F33" i="25"/>
  <c r="F38" i="25"/>
  <c r="F23" i="25"/>
  <c r="F28" i="25"/>
  <c r="F3" i="25"/>
  <c r="F8" i="25"/>
  <c r="F13" i="25"/>
  <c r="F18" i="25"/>
  <c r="F9" i="25"/>
  <c r="G38" i="25"/>
  <c r="G33" i="25"/>
  <c r="G23" i="25"/>
  <c r="G3" i="25"/>
  <c r="G28" i="25"/>
  <c r="G18" i="25"/>
  <c r="G13" i="25"/>
  <c r="D70" i="37"/>
  <c r="N4" i="45" s="1"/>
  <c r="D138" i="37"/>
  <c r="AD4" i="45" s="1"/>
  <c r="D68" i="37"/>
  <c r="N2" i="45" s="1"/>
  <c r="D136" i="37"/>
  <c r="AD2" i="45" s="1"/>
  <c r="D69" i="37"/>
  <c r="N3" i="45" s="1"/>
  <c r="D137" i="37"/>
  <c r="AD3" i="45" s="1"/>
  <c r="G34" i="25"/>
  <c r="G29" i="25"/>
  <c r="G14" i="25"/>
  <c r="G9" i="25"/>
  <c r="G24" i="25"/>
  <c r="G19" i="25"/>
  <c r="G39" i="25"/>
  <c r="D71" i="37"/>
  <c r="N5" i="45" s="1"/>
  <c r="D139" i="37"/>
  <c r="AD5" i="45" s="1"/>
  <c r="A237" i="27"/>
  <c r="A87" i="25" a="1"/>
  <c r="A87" i="25" s="1"/>
  <c r="A145" i="25" a="1"/>
  <c r="A145" i="25" s="1"/>
  <c r="A143" i="25" a="1"/>
  <c r="A143" i="25" s="1"/>
  <c r="A132" i="25" a="1"/>
  <c r="A132" i="25" s="1"/>
  <c r="A101" i="25" a="1"/>
  <c r="A101" i="25" s="1"/>
  <c r="A103" i="25" a="1"/>
  <c r="A103" i="25" s="1"/>
  <c r="A99" i="25" a="1"/>
  <c r="A99" i="25" s="1"/>
  <c r="A104" i="25" a="1"/>
  <c r="A104" i="25" s="1"/>
  <c r="A102" i="25" a="1"/>
  <c r="A102" i="25" s="1"/>
  <c r="A109" i="25" a="1"/>
  <c r="A109" i="25" s="1"/>
  <c r="A108" i="25" a="1"/>
  <c r="A108" i="25" s="1"/>
  <c r="A130" i="25" a="1"/>
  <c r="A130" i="25" s="1"/>
  <c r="A110" i="25" a="1"/>
  <c r="A110" i="25" s="1"/>
  <c r="G124" i="27"/>
  <c r="F124" i="27"/>
  <c r="C10" i="24" l="1"/>
  <c r="C22" i="24"/>
  <c r="C21" i="24"/>
  <c r="C20" i="24"/>
  <c r="C19" i="24"/>
  <c r="C7" i="24"/>
  <c r="C8" i="24"/>
  <c r="C11" i="24"/>
  <c r="C12" i="24"/>
  <c r="C6" i="24"/>
  <c r="C9" i="24"/>
  <c r="F21" i="55"/>
  <c r="C17" i="24"/>
  <c r="C5" i="24"/>
  <c r="D19" i="24"/>
  <c r="D23" i="24"/>
  <c r="D22" i="24"/>
  <c r="D21" i="24"/>
  <c r="D24" i="24"/>
  <c r="D20" i="24"/>
  <c r="D5" i="24"/>
  <c r="A97" i="25" a="1"/>
  <c r="A97" i="25" s="1"/>
  <c r="A96" i="25" a="1"/>
  <c r="A96" i="25" s="1"/>
  <c r="D11" i="24"/>
  <c r="A100" i="25" a="1"/>
  <c r="A100" i="25" s="1"/>
  <c r="D15" i="24"/>
  <c r="D16" i="24"/>
  <c r="D6" i="24"/>
  <c r="D14" i="24"/>
  <c r="D12" i="24"/>
  <c r="D10" i="24"/>
  <c r="D9" i="24"/>
  <c r="D17" i="24"/>
  <c r="D7" i="24"/>
  <c r="D13" i="24"/>
  <c r="D8" i="24"/>
  <c r="A142" i="25" a="1"/>
  <c r="A142" i="25" s="1"/>
  <c r="A98" i="25" a="1"/>
  <c r="A98" i="25" s="1"/>
  <c r="A136" i="25" a="1"/>
  <c r="A136" i="25" s="1"/>
  <c r="A139" i="25" a="1"/>
  <c r="A139" i="25" s="1"/>
  <c r="A133" i="25" a="1"/>
  <c r="A133" i="25" s="1"/>
  <c r="A137" i="25" a="1"/>
  <c r="A137" i="25" s="1"/>
  <c r="A131" i="25" a="1"/>
  <c r="A131" i="25" s="1"/>
  <c r="A140" i="25" a="1"/>
  <c r="A140" i="25" s="1"/>
  <c r="A134" i="25" a="1"/>
  <c r="A134" i="25" s="1"/>
  <c r="A117" i="25" a="1"/>
  <c r="A117" i="25" s="1"/>
  <c r="A144" i="25" a="1"/>
  <c r="A144" i="25" s="1"/>
  <c r="A138" i="25" a="1"/>
  <c r="A138" i="25" s="1"/>
  <c r="A107" i="25" a="1"/>
  <c r="A107" i="25" s="1"/>
  <c r="A127" i="25" a="1"/>
  <c r="A127" i="25" s="1"/>
  <c r="A125" i="25" a="1"/>
  <c r="A125" i="25" s="1"/>
  <c r="A129" i="25" a="1"/>
  <c r="A129" i="25" s="1"/>
  <c r="A126" i="25" a="1"/>
  <c r="A126" i="25" s="1"/>
  <c r="A128" i="25" a="1"/>
  <c r="A128" i="25" s="1"/>
  <c r="A106" i="25" a="1"/>
  <c r="A106" i="25" s="1"/>
  <c r="A105" i="25" a="1"/>
  <c r="A105" i="25" s="1"/>
  <c r="H6" i="24" l="1"/>
  <c r="C226" i="27" s="1"/>
  <c r="H6" i="50"/>
  <c r="C228" i="27" s="1"/>
  <c r="H6" i="49"/>
  <c r="C227" i="27" s="1"/>
  <c r="D25" i="50"/>
  <c r="G6" i="50" s="1"/>
  <c r="D25" i="49"/>
  <c r="G6" i="49" s="1"/>
  <c r="D25" i="24"/>
  <c r="G6" i="24" s="1"/>
  <c r="A85" i="25" a="1"/>
  <c r="A85" i="25" s="1"/>
  <c r="A86" i="25" a="1"/>
  <c r="A86" i="25" s="1"/>
  <c r="A83" i="25" a="1"/>
  <c r="A83" i="25" s="1"/>
  <c r="A115" i="25" a="1"/>
  <c r="A115" i="25" s="1"/>
  <c r="A116" i="25" a="1"/>
  <c r="A116" i="25" s="1"/>
  <c r="A124" i="25" a="1"/>
  <c r="A124" i="25" s="1"/>
  <c r="A111" i="25" a="1"/>
  <c r="A111" i="25" s="1"/>
  <c r="A121" i="25" a="1"/>
  <c r="A121" i="25" s="1"/>
  <c r="A141" i="25" a="1"/>
  <c r="A141" i="25" s="1"/>
  <c r="A135" i="25" a="1"/>
  <c r="A135" i="25" s="1"/>
  <c r="A120" i="25" a="1"/>
  <c r="A120" i="25" s="1"/>
  <c r="A114" i="25" a="1"/>
  <c r="A114" i="25" s="1"/>
  <c r="A118" i="25" a="1"/>
  <c r="A118" i="25" s="1"/>
  <c r="A112" i="25" a="1"/>
  <c r="A112" i="25" s="1"/>
  <c r="A119" i="25" a="1"/>
  <c r="A119" i="25" s="1"/>
  <c r="A113" i="25" a="1"/>
  <c r="A113" i="25" s="1"/>
  <c r="A122" i="25" a="1"/>
  <c r="A122" i="25" s="1"/>
  <c r="A123" i="25" a="1"/>
  <c r="A123" i="25" s="1"/>
  <c r="F26" i="25"/>
  <c r="D228" i="27" l="1"/>
  <c r="A228" i="27" s="1"/>
  <c r="E228" i="27"/>
  <c r="F228" i="27"/>
  <c r="G228" i="27"/>
  <c r="D227" i="27"/>
  <c r="A227" i="27" s="1"/>
  <c r="D1016" i="37" s="1"/>
  <c r="GN2" i="45" s="1"/>
  <c r="G227" i="27"/>
  <c r="E227" i="27"/>
  <c r="F227" i="27"/>
  <c r="A94" i="25" a="1"/>
  <c r="A94" i="25" s="1"/>
  <c r="A89" i="25" a="1"/>
  <c r="A89" i="25" s="1"/>
  <c r="A91" i="25" a="1"/>
  <c r="A91" i="25" s="1"/>
  <c r="A84" i="25" a="1"/>
  <c r="A84" i="25" s="1"/>
  <c r="A95" i="25" a="1"/>
  <c r="A95" i="25" s="1"/>
  <c r="A92" i="25" a="1"/>
  <c r="A92" i="25" s="1"/>
  <c r="A93" i="25" a="1"/>
  <c r="A93" i="25" s="1"/>
  <c r="A90" i="25" a="1"/>
  <c r="A90" i="25" s="1"/>
  <c r="A88" i="25" a="1"/>
  <c r="A88" i="25" s="1"/>
  <c r="D972" i="37"/>
  <c r="GE2" i="45" s="1"/>
  <c r="D397" i="37"/>
  <c r="BY2" i="45" s="1"/>
  <c r="D2" i="37"/>
  <c r="A2" i="45" s="1"/>
  <c r="D936" i="37"/>
  <c r="FW2" i="45" s="1"/>
  <c r="D585" i="37"/>
  <c r="DG2" i="45" s="1"/>
  <c r="D840" i="37"/>
  <c r="FC2" i="45" s="1"/>
  <c r="D998" i="37"/>
  <c r="GK2" i="45" s="1"/>
  <c r="D470" i="37"/>
  <c r="CM2" i="45" s="1"/>
  <c r="D288" i="37"/>
  <c r="BE2" i="45" s="1"/>
  <c r="D41" i="37"/>
  <c r="J2" i="45" s="1"/>
  <c r="D361" i="37"/>
  <c r="BQ2" i="45" s="1"/>
  <c r="D175" i="37"/>
  <c r="AI2" i="45" s="1"/>
  <c r="D814" i="37"/>
  <c r="EW2" i="45" s="1"/>
  <c r="D106" i="37"/>
  <c r="W2" i="45" s="1"/>
  <c r="D631" i="37"/>
  <c r="DO2" i="45" s="1"/>
  <c r="D214" i="37"/>
  <c r="AQ2" i="45" s="1"/>
  <c r="D768" i="37"/>
  <c r="EO2" i="45" s="1"/>
  <c r="D80" i="37"/>
  <c r="Q2" i="45" s="1"/>
  <c r="D726" i="37"/>
  <c r="EG2" i="45" s="1"/>
  <c r="D262" i="37"/>
  <c r="AY2" i="45" s="1"/>
  <c r="D902" i="37"/>
  <c r="FO2" i="45" s="1"/>
  <c r="D444" i="37"/>
  <c r="CG2" i="45" s="1"/>
  <c r="D545" i="37"/>
  <c r="CY2" i="45" s="1"/>
  <c r="D657" i="37"/>
  <c r="DU2" i="45" s="1"/>
  <c r="D658" i="37"/>
  <c r="DU3" i="45" s="1"/>
  <c r="D799" i="37"/>
  <c r="ET2" i="45" s="1"/>
  <c r="D144" i="37"/>
  <c r="AE6" i="45" s="1"/>
  <c r="D431" i="37"/>
  <c r="CE4" i="45" s="1"/>
  <c r="D882" i="37"/>
  <c r="FK4" i="45" s="1"/>
  <c r="D141" i="37"/>
  <c r="AE3" i="45" s="1"/>
  <c r="D932" i="37"/>
  <c r="FU4" i="45" s="1"/>
  <c r="D247" i="37"/>
  <c r="AV6" i="45" s="1"/>
  <c r="D499" i="37"/>
  <c r="CS5" i="45" s="1"/>
  <c r="D386" i="37"/>
  <c r="BV2" i="45" s="1"/>
  <c r="D653" i="37"/>
  <c r="DT4" i="45" s="1"/>
  <c r="D866" i="37"/>
  <c r="FI2" i="45" s="1"/>
  <c r="D797" i="37"/>
  <c r="ES7" i="45" s="1"/>
  <c r="D65" i="37"/>
  <c r="M3" i="45" s="1"/>
  <c r="D357" i="37"/>
  <c r="BP9" i="45" s="1"/>
  <c r="D760" i="37"/>
  <c r="EM4" i="45" s="1"/>
  <c r="D878" i="37"/>
  <c r="FJ7" i="45" s="1"/>
  <c r="D240" i="37"/>
  <c r="AU4" i="45" s="1"/>
  <c r="D927" i="37"/>
  <c r="FT2" i="45" s="1"/>
  <c r="D391" i="37"/>
  <c r="BW3" i="45" s="1"/>
  <c r="D888" i="37"/>
  <c r="FL6" i="45" s="1"/>
  <c r="D794" i="37"/>
  <c r="ES4" i="45" s="1"/>
  <c r="D243" i="37"/>
  <c r="AV2" i="45" s="1"/>
  <c r="D331" i="37"/>
  <c r="BN5" i="45" s="1"/>
  <c r="D170" i="37"/>
  <c r="AH7" i="45" s="1"/>
  <c r="D892" i="37"/>
  <c r="FM4" i="45" s="1"/>
  <c r="D334" i="37"/>
  <c r="BN8" i="45" s="1"/>
  <c r="D1027" i="37"/>
  <c r="GR2" i="45" s="1"/>
  <c r="D163" i="37"/>
  <c r="AG10" i="45" s="1"/>
  <c r="D286" i="37"/>
  <c r="BD6" i="45" s="1"/>
  <c r="D1005" i="37"/>
  <c r="GL5" i="45" s="1"/>
  <c r="D964" i="37"/>
  <c r="GB3" i="45" s="1"/>
  <c r="D723" i="37"/>
  <c r="EF8" i="45" s="1"/>
  <c r="D333" i="37"/>
  <c r="BN7" i="45" s="1"/>
  <c r="D805" i="37"/>
  <c r="ET8" i="45" s="1"/>
  <c r="D478" i="37"/>
  <c r="CN6" i="45" s="1"/>
  <c r="D572" i="37"/>
  <c r="DD4" i="45" s="1"/>
  <c r="D701" i="37"/>
  <c r="ED4" i="45" s="1"/>
  <c r="D428" i="37"/>
  <c r="CD5" i="45" s="1"/>
  <c r="D336" i="37"/>
  <c r="BN10" i="45" s="1"/>
  <c r="D341" i="37"/>
  <c r="BO4" i="45" s="1"/>
  <c r="D576" i="37"/>
  <c r="DE2" i="45" s="1"/>
  <c r="D320" i="37"/>
  <c r="BL3" i="45" s="1"/>
  <c r="D759" i="37"/>
  <c r="EM3" i="45" s="1"/>
  <c r="D392" i="37"/>
  <c r="BW4" i="45" s="1"/>
  <c r="D322" i="37"/>
  <c r="BL5" i="45" s="1"/>
  <c r="D524" i="37"/>
  <c r="CW5" i="45" s="1"/>
  <c r="D532" i="37"/>
  <c r="CW13" i="45" s="1"/>
  <c r="D158" i="37"/>
  <c r="AG5" i="45" s="1"/>
  <c r="D200" i="37"/>
  <c r="AN2" i="45" s="1"/>
  <c r="D1025" i="37"/>
  <c r="GQ3" i="45" s="1"/>
  <c r="D297" i="37"/>
  <c r="BF7" i="45" s="1"/>
  <c r="D651" i="37"/>
  <c r="DT2" i="45" s="1"/>
  <c r="D129" i="37"/>
  <c r="AB5" i="45" s="1"/>
  <c r="D779" i="37"/>
  <c r="EP9" i="45" s="1"/>
  <c r="D162" i="37"/>
  <c r="AG9" i="45" s="1"/>
  <c r="D166" i="37"/>
  <c r="AH3" i="45" s="1"/>
  <c r="D257" i="37"/>
  <c r="AX2" i="45" s="1"/>
  <c r="D565" i="37"/>
  <c r="DC3" i="45" s="1"/>
  <c r="D1012" i="37"/>
  <c r="GL12" i="45" s="1"/>
  <c r="D856" i="37"/>
  <c r="FD14" i="45" s="1"/>
  <c r="D641" i="37"/>
  <c r="DP8" i="45" s="1"/>
  <c r="D573" i="37"/>
  <c r="DD5" i="45" s="1"/>
  <c r="D669" i="37"/>
  <c r="DV10" i="45" s="1"/>
  <c r="D412" i="37"/>
  <c r="BZ13" i="45" s="1"/>
  <c r="D26" i="37"/>
  <c r="E7" i="45" s="1"/>
  <c r="D896" i="37"/>
  <c r="FN2" i="45" s="1"/>
  <c r="D551" i="37"/>
  <c r="CZ4" i="45" s="1"/>
  <c r="D242" i="37"/>
  <c r="AU6" i="45" s="1"/>
  <c r="D441" i="37"/>
  <c r="CF4" i="45" s="1"/>
  <c r="D67" i="37"/>
  <c r="M5" i="45" s="1"/>
  <c r="D537" i="37"/>
  <c r="CX6" i="45" s="1"/>
  <c r="D31" i="37"/>
  <c r="G2" i="45" s="1"/>
  <c r="D609" i="37"/>
  <c r="DK2" i="45" s="1"/>
  <c r="D34" i="37"/>
  <c r="G5" i="45" s="1"/>
  <c r="D33" i="37"/>
  <c r="G4" i="45" s="1"/>
  <c r="D610" i="37"/>
  <c r="DK3" i="45" s="1"/>
  <c r="D32" i="37"/>
  <c r="G3" i="45" s="1"/>
  <c r="D971" i="37"/>
  <c r="GD2" i="45" s="1"/>
  <c r="J18" i="25"/>
  <c r="D991" i="37" l="1"/>
  <c r="GI2" i="45" s="1"/>
  <c r="D1017" i="37"/>
  <c r="GO2" i="45" s="1"/>
  <c r="D920" i="37"/>
  <c r="FR2" i="45" s="1"/>
  <c r="D990" i="37"/>
  <c r="GH2" i="45" s="1"/>
  <c r="D832" i="37"/>
  <c r="EZ2" i="45" s="1"/>
  <c r="D858" i="37"/>
  <c r="FF2" i="45" s="1"/>
  <c r="D833" i="37"/>
  <c r="FA2" i="45" s="1"/>
  <c r="D859" i="37"/>
  <c r="FG2" i="45" s="1"/>
  <c r="D744" i="37"/>
  <c r="EJ2" i="45" s="1"/>
  <c r="D649" i="37"/>
  <c r="DR2" i="45" s="1"/>
  <c r="D675" i="37"/>
  <c r="DX2" i="45" s="1"/>
  <c r="D650" i="37"/>
  <c r="DS2" i="45" s="1"/>
  <c r="D676" i="37"/>
  <c r="DY2" i="45" s="1"/>
  <c r="D488" i="37"/>
  <c r="CP2" i="45" s="1"/>
  <c r="D563" i="37"/>
  <c r="DB2" i="45" s="1"/>
  <c r="D463" i="37"/>
  <c r="CK2" i="45" s="1"/>
  <c r="D489" i="37"/>
  <c r="CQ2" i="45" s="1"/>
  <c r="D379" i="37"/>
  <c r="BT2" i="45" s="1"/>
  <c r="D462" i="37"/>
  <c r="CJ2" i="45" s="1"/>
  <c r="D280" i="37"/>
  <c r="BB2" i="45" s="1"/>
  <c r="D306" i="37"/>
  <c r="BH2" i="45" s="1"/>
  <c r="D281" i="37"/>
  <c r="BC2" i="45" s="1"/>
  <c r="D307" i="37"/>
  <c r="BI2" i="45" s="1"/>
  <c r="D124" i="37"/>
  <c r="Z2" i="45" s="1"/>
  <c r="D193" i="37"/>
  <c r="AL2" i="45" s="1"/>
  <c r="D99" i="37"/>
  <c r="U2" i="45" s="1"/>
  <c r="D125" i="37"/>
  <c r="AA2" i="45" s="1"/>
  <c r="D20" i="37"/>
  <c r="D2" i="45" s="1"/>
  <c r="D98" i="37"/>
  <c r="T2" i="45" s="1"/>
  <c r="D226" i="27"/>
  <c r="A226" i="27" s="1"/>
  <c r="E226" i="27"/>
  <c r="F226" i="27"/>
  <c r="G226" i="27"/>
  <c r="D232" i="37"/>
  <c r="AT2" i="45" s="1"/>
  <c r="D571" i="37"/>
  <c r="DD3" i="45" s="1"/>
  <c r="D1032" i="37"/>
  <c r="GS4" i="45" s="1"/>
  <c r="D1010" i="37"/>
  <c r="GL10" i="45" s="1"/>
  <c r="D413" i="37"/>
  <c r="BZ14" i="45" s="1"/>
  <c r="D273" i="37"/>
  <c r="AZ9" i="45" s="1"/>
  <c r="D918" i="37"/>
  <c r="FP14" i="45" s="1"/>
  <c r="D960" i="37"/>
  <c r="GA2" i="45" s="1"/>
  <c r="D165" i="37"/>
  <c r="AH2" i="45" s="1"/>
  <c r="D691" i="37"/>
  <c r="EB4" i="45" s="1"/>
  <c r="D145" i="37"/>
  <c r="AF2" i="45" s="1"/>
  <c r="D611" i="37"/>
  <c r="DK4" i="45" s="1"/>
  <c r="D544" i="37"/>
  <c r="CX13" i="45" s="1"/>
  <c r="D931" i="37"/>
  <c r="FU3" i="45" s="1"/>
  <c r="D319" i="37"/>
  <c r="BL2" i="45" s="1"/>
  <c r="D60" i="37"/>
  <c r="L4" i="45" s="1"/>
  <c r="D600" i="37"/>
  <c r="DH13" i="45" s="1"/>
  <c r="D834" i="37"/>
  <c r="FB2" i="45" s="1"/>
  <c r="D615" i="37"/>
  <c r="DL2" i="45" s="1"/>
  <c r="D873" i="37"/>
  <c r="FJ2" i="45" s="1"/>
  <c r="D748" i="37"/>
  <c r="EK5" i="45" s="1"/>
  <c r="D208" i="37"/>
  <c r="AO5" i="45" s="1"/>
  <c r="D775" i="37"/>
  <c r="EP5" i="45" s="1"/>
  <c r="D1024" i="37"/>
  <c r="GQ2" i="45" s="1"/>
  <c r="D346" i="37"/>
  <c r="BO9" i="45" s="1"/>
  <c r="D792" i="37"/>
  <c r="ES2" i="45" s="1"/>
  <c r="D74" i="37"/>
  <c r="I6" i="45" s="1"/>
  <c r="D758" i="37"/>
  <c r="EM2" i="45" s="1"/>
  <c r="D246" i="37"/>
  <c r="AV5" i="45" s="1"/>
  <c r="D404" i="37"/>
  <c r="BZ5" i="45" s="1"/>
  <c r="D983" i="37"/>
  <c r="GF9" i="45" s="1"/>
  <c r="D285" i="37"/>
  <c r="BD5" i="45" s="1"/>
  <c r="D1018" i="37"/>
  <c r="GP2" i="45" s="1"/>
  <c r="D358" i="37"/>
  <c r="BP10" i="45" s="1"/>
  <c r="D1029" i="37"/>
  <c r="GR4" i="45" s="1"/>
  <c r="D807" i="37"/>
  <c r="EU3" i="45" s="1"/>
  <c r="D62" i="37"/>
  <c r="L6" i="45" s="1"/>
  <c r="D135" i="37"/>
  <c r="AC5" i="45" s="1"/>
  <c r="D95" i="37"/>
  <c r="R13" i="45" s="1"/>
  <c r="D672" i="37"/>
  <c r="DV13" i="45" s="1"/>
  <c r="D824" i="37"/>
  <c r="EX8" i="45" s="1"/>
  <c r="D645" i="37"/>
  <c r="DP12" i="45" s="1"/>
  <c r="D992" i="37"/>
  <c r="GJ2" i="45" s="1"/>
  <c r="D50" i="37"/>
  <c r="K7" i="45" s="1"/>
  <c r="D453" i="37"/>
  <c r="CH7" i="45" s="1"/>
  <c r="D355" i="37"/>
  <c r="BP7" i="45" s="1"/>
  <c r="D887" i="37"/>
  <c r="FL5" i="45" s="1"/>
  <c r="D64" i="37"/>
  <c r="M2" i="45" s="1"/>
  <c r="D756" i="37"/>
  <c r="EL7" i="45" s="1"/>
  <c r="D525" i="37"/>
  <c r="CW6" i="45" s="1"/>
  <c r="D155" i="37"/>
  <c r="AG2" i="45" s="1"/>
  <c r="D890" i="37"/>
  <c r="FM2" i="45" s="1"/>
  <c r="D917" i="37"/>
  <c r="FP13" i="45" s="1"/>
  <c r="D485" i="37"/>
  <c r="CN13" i="45" s="1"/>
  <c r="D951" i="37"/>
  <c r="FX13" i="45" s="1"/>
  <c r="D303" i="37"/>
  <c r="BF13" i="45" s="1"/>
  <c r="D371" i="37"/>
  <c r="BR8" i="45" s="1"/>
  <c r="D851" i="37"/>
  <c r="FD9" i="45" s="1"/>
  <c r="D654" i="37"/>
  <c r="DT5" i="45" s="1"/>
  <c r="D194" i="37"/>
  <c r="AM2" i="45" s="1"/>
  <c r="D921" i="37"/>
  <c r="FS2" i="45" s="1"/>
  <c r="D981" i="37"/>
  <c r="GF7" i="45" s="1"/>
  <c r="D928" i="37"/>
  <c r="FT3" i="45" s="1"/>
  <c r="D168" i="37"/>
  <c r="AH5" i="45" s="1"/>
  <c r="D330" i="37"/>
  <c r="BN4" i="45" s="1"/>
  <c r="D347" i="37"/>
  <c r="BO10" i="45" s="1"/>
  <c r="D715" i="37"/>
  <c r="EE9" i="45" s="1"/>
  <c r="D592" i="37"/>
  <c r="DH5" i="45" s="1"/>
  <c r="D384" i="37"/>
  <c r="BU6" i="45" s="1"/>
  <c r="D468" i="37"/>
  <c r="CL6" i="45" s="1"/>
  <c r="D721" i="37"/>
  <c r="EF6" i="45" s="1"/>
  <c r="D900" i="37"/>
  <c r="FN6" i="45" s="1"/>
  <c r="D335" i="37"/>
  <c r="BN9" i="45" s="1"/>
  <c r="D133" i="37"/>
  <c r="AC3" i="45" s="1"/>
  <c r="D766" i="37"/>
  <c r="EN3" i="45" s="1"/>
  <c r="D624" i="37"/>
  <c r="DM5" i="45" s="1"/>
  <c r="D1013" i="37"/>
  <c r="GL13" i="45" s="1"/>
  <c r="D121" i="37"/>
  <c r="X13" i="45" s="1"/>
  <c r="D11" i="37"/>
  <c r="B7" i="45" s="1"/>
  <c r="D459" i="37"/>
  <c r="CH13" i="45" s="1"/>
  <c r="D17" i="37"/>
  <c r="B13" i="45" s="1"/>
  <c r="D913" i="37"/>
  <c r="FP9" i="45" s="1"/>
  <c r="D564" i="37"/>
  <c r="DC2" i="45" s="1"/>
  <c r="D607" i="37"/>
  <c r="DJ6" i="45" s="1"/>
  <c r="D864" i="37"/>
  <c r="FH6" i="45" s="1"/>
  <c r="D894" i="37"/>
  <c r="FM6" i="45" s="1"/>
  <c r="D443" i="37"/>
  <c r="CF6" i="45" s="1"/>
  <c r="D523" i="37"/>
  <c r="CW4" i="45" s="1"/>
  <c r="D511" i="37"/>
  <c r="CV4" i="45" s="1"/>
  <c r="D376" i="37"/>
  <c r="BR13" i="45" s="1"/>
  <c r="D560" i="37"/>
  <c r="CZ13" i="45" s="1"/>
  <c r="D277" i="37"/>
  <c r="AZ13" i="45" s="1"/>
  <c r="D829" i="37"/>
  <c r="EX13" i="45" s="1"/>
  <c r="D612" i="37"/>
  <c r="DK5" i="45" s="1"/>
  <c r="D825" i="37"/>
  <c r="EX9" i="45" s="1"/>
  <c r="D467" i="37"/>
  <c r="CL5" i="45" s="1"/>
  <c r="D352" i="37"/>
  <c r="BP4" i="45" s="1"/>
  <c r="D893" i="37"/>
  <c r="FM5" i="45" s="1"/>
  <c r="D705" i="37"/>
  <c r="ED8" i="45" s="1"/>
  <c r="D638" i="37"/>
  <c r="DP5" i="45" s="1"/>
  <c r="D1022" i="37"/>
  <c r="GP6" i="45" s="1"/>
  <c r="D838" i="37"/>
  <c r="FB6" i="45" s="1"/>
  <c r="D706" i="37"/>
  <c r="ED9" i="45" s="1"/>
  <c r="D132" i="37"/>
  <c r="AC2" i="45" s="1"/>
  <c r="D28" i="37"/>
  <c r="F3" i="45" s="1"/>
  <c r="D871" i="37"/>
  <c r="FI7" i="45" s="1"/>
  <c r="D496" i="37"/>
  <c r="CS2" i="45" s="1"/>
  <c r="D583" i="37"/>
  <c r="DF3" i="45" s="1"/>
  <c r="D934" i="37"/>
  <c r="FV3" i="45" s="1"/>
  <c r="D433" i="37"/>
  <c r="CE6" i="45" s="1"/>
  <c r="D707" i="37"/>
  <c r="ED10" i="45" s="1"/>
  <c r="D895" i="37"/>
  <c r="FM7" i="45" s="1"/>
  <c r="D618" i="37"/>
  <c r="DL5" i="45" s="1"/>
  <c r="D49" i="37"/>
  <c r="K6" i="45" s="1"/>
  <c r="D329" i="37"/>
  <c r="BN3" i="45" s="1"/>
  <c r="D258" i="37"/>
  <c r="AX3" i="45" s="1"/>
  <c r="D793" i="37"/>
  <c r="ES3" i="45" s="1"/>
  <c r="D867" i="37"/>
  <c r="FI3" i="45" s="1"/>
  <c r="D66" i="37"/>
  <c r="M4" i="45" s="1"/>
  <c r="D134" i="37"/>
  <c r="AC4" i="45" s="1"/>
  <c r="D373" i="37"/>
  <c r="BR10" i="45" s="1"/>
  <c r="D53" i="37"/>
  <c r="K10" i="45" s="1"/>
  <c r="D274" i="37"/>
  <c r="AZ10" i="45" s="1"/>
  <c r="D14" i="37"/>
  <c r="B10" i="45" s="1"/>
  <c r="D852" i="37"/>
  <c r="FD10" i="45" s="1"/>
  <c r="D118" i="37"/>
  <c r="X10" i="45" s="1"/>
  <c r="D510" i="37"/>
  <c r="CV3" i="45" s="1"/>
  <c r="D522" i="37"/>
  <c r="CW3" i="45" s="1"/>
  <c r="D309" i="37"/>
  <c r="BJ3" i="45" s="1"/>
  <c r="D955" i="37"/>
  <c r="FZ3" i="45" s="1"/>
  <c r="D746" i="37"/>
  <c r="EK3" i="45" s="1"/>
  <c r="D154" i="37"/>
  <c r="AF11" i="45" s="1"/>
  <c r="D164" i="37"/>
  <c r="AG11" i="45" s="1"/>
  <c r="D514" i="37"/>
  <c r="CV7" i="45" s="1"/>
  <c r="D538" i="37"/>
  <c r="CX7" i="45" s="1"/>
  <c r="D354" i="37"/>
  <c r="BP6" i="45" s="1"/>
  <c r="D332" i="37"/>
  <c r="BN6" i="45" s="1"/>
  <c r="D261" i="37"/>
  <c r="AX6" i="45" s="1"/>
  <c r="D343" i="37"/>
  <c r="BO6" i="45" s="1"/>
  <c r="D540" i="37"/>
  <c r="CX9" i="45" s="1"/>
  <c r="D692" i="37"/>
  <c r="EB5" i="45" s="1"/>
  <c r="D452" i="37"/>
  <c r="CH6" i="45" s="1"/>
  <c r="D910" i="37"/>
  <c r="FP6" i="45" s="1"/>
  <c r="D553" i="37"/>
  <c r="CZ6" i="45" s="1"/>
  <c r="D348" i="37"/>
  <c r="BO11" i="45" s="1"/>
  <c r="D337" i="37"/>
  <c r="BN11" i="45" s="1"/>
  <c r="D359" i="37"/>
  <c r="BP11" i="45" s="1"/>
  <c r="D201" i="37"/>
  <c r="AN3" i="45" s="1"/>
  <c r="D239" i="37"/>
  <c r="AU3" i="45" s="1"/>
  <c r="D425" i="37"/>
  <c r="CD2" i="45" s="1"/>
  <c r="D500" i="37"/>
  <c r="CT2" i="45" s="1"/>
  <c r="D340" i="37"/>
  <c r="BO3" i="45" s="1"/>
  <c r="D752" i="37"/>
  <c r="EL3" i="45" s="1"/>
  <c r="D482" i="37"/>
  <c r="CN10" i="45" s="1"/>
  <c r="D226" i="37"/>
  <c r="AR10" i="45" s="1"/>
  <c r="D643" i="37"/>
  <c r="DP10" i="45" s="1"/>
  <c r="D595" i="37"/>
  <c r="DH8" i="45" s="1"/>
  <c r="D116" i="37"/>
  <c r="X8" i="45" s="1"/>
  <c r="D854" i="37"/>
  <c r="FD12" i="45" s="1"/>
  <c r="D375" i="37"/>
  <c r="BR12" i="45" s="1"/>
  <c r="D94" i="37"/>
  <c r="R12" i="45" s="1"/>
  <c r="D599" i="37"/>
  <c r="DH12" i="45" s="1"/>
  <c r="D1019" i="37"/>
  <c r="GP3" i="45" s="1"/>
  <c r="D184" i="37"/>
  <c r="AJ7" i="45" s="1"/>
  <c r="D406" i="37"/>
  <c r="BZ7" i="45" s="1"/>
  <c r="D945" i="37"/>
  <c r="FX7" i="45" s="1"/>
  <c r="D479" i="37"/>
  <c r="CN7" i="45" s="1"/>
  <c r="D115" i="37"/>
  <c r="X7" i="45" s="1"/>
  <c r="D777" i="37"/>
  <c r="EP7" i="45" s="1"/>
  <c r="D594" i="37"/>
  <c r="DH7" i="45" s="1"/>
  <c r="D554" i="37"/>
  <c r="CZ7" i="45" s="1"/>
  <c r="D159" i="37"/>
  <c r="AG6" i="45" s="1"/>
  <c r="D149" i="37"/>
  <c r="AF6" i="45" s="1"/>
  <c r="D169" i="37"/>
  <c r="AH6" i="45" s="1"/>
  <c r="D526" i="37"/>
  <c r="CW7" i="45" s="1"/>
  <c r="D719" i="37"/>
  <c r="EF4" i="45" s="1"/>
  <c r="D88" i="37"/>
  <c r="R6" i="45" s="1"/>
  <c r="D87" i="37"/>
  <c r="R5" i="45" s="1"/>
  <c r="D176" i="37"/>
  <c r="AI3" i="45" s="1"/>
  <c r="D263" i="37"/>
  <c r="AY3" i="45" s="1"/>
  <c r="D841" i="37"/>
  <c r="FC3" i="45" s="1"/>
  <c r="D815" i="37"/>
  <c r="EW3" i="45" s="1"/>
  <c r="D727" i="37"/>
  <c r="EG3" i="45" s="1"/>
  <c r="D42" i="37"/>
  <c r="J3" i="45" s="1"/>
  <c r="D114" i="37"/>
  <c r="X6" i="45" s="1"/>
  <c r="D822" i="37"/>
  <c r="EX6" i="45" s="1"/>
  <c r="D270" i="37"/>
  <c r="AZ6" i="45" s="1"/>
  <c r="D776" i="37"/>
  <c r="EP6" i="45" s="1"/>
  <c r="D1006" i="37"/>
  <c r="GL6" i="45" s="1"/>
  <c r="D980" i="37"/>
  <c r="GF6" i="45" s="1"/>
  <c r="D665" i="37"/>
  <c r="DV6" i="45" s="1"/>
  <c r="D639" i="37"/>
  <c r="DP6" i="45" s="1"/>
  <c r="D848" i="37"/>
  <c r="FD6" i="45" s="1"/>
  <c r="D296" i="37"/>
  <c r="BF6" i="45" s="1"/>
  <c r="D405" i="37"/>
  <c r="BZ6" i="45" s="1"/>
  <c r="D183" i="37"/>
  <c r="AJ6" i="45" s="1"/>
  <c r="D717" i="37"/>
  <c r="EF2" i="45" s="1"/>
  <c r="D708" i="37"/>
  <c r="EE2" i="45" s="1"/>
  <c r="D850" i="37"/>
  <c r="FD8" i="45" s="1"/>
  <c r="D12" i="37"/>
  <c r="B8" i="45" s="1"/>
  <c r="D982" i="37"/>
  <c r="GF8" i="45" s="1"/>
  <c r="D298" i="37"/>
  <c r="BF8" i="45" s="1"/>
  <c r="D480" i="37"/>
  <c r="CN8" i="45" s="1"/>
  <c r="D51" i="37"/>
  <c r="K8" i="45" s="1"/>
  <c r="D328" i="37"/>
  <c r="BN2" i="45" s="1"/>
  <c r="D339" i="37"/>
  <c r="BO2" i="45" s="1"/>
  <c r="D350" i="37"/>
  <c r="BP2" i="45" s="1"/>
  <c r="D157" i="37"/>
  <c r="AG4" i="45" s="1"/>
  <c r="D513" i="37"/>
  <c r="CV6" i="45" s="1"/>
  <c r="D351" i="37"/>
  <c r="BP3" i="45" s="1"/>
  <c r="D318" i="37"/>
  <c r="BK6" i="45" s="1"/>
  <c r="D204" i="37"/>
  <c r="AN6" i="45" s="1"/>
  <c r="D29" i="37"/>
  <c r="F4" i="45" s="1"/>
  <c r="D826" i="37"/>
  <c r="EX10" i="45" s="1"/>
  <c r="D92" i="37"/>
  <c r="R10" i="45" s="1"/>
  <c r="D778" i="37"/>
  <c r="EP8" i="45" s="1"/>
  <c r="D667" i="37"/>
  <c r="DV8" i="45" s="1"/>
  <c r="D952" i="37"/>
  <c r="FX14" i="45" s="1"/>
  <c r="D460" i="37"/>
  <c r="CH14" i="45" s="1"/>
  <c r="D601" i="37"/>
  <c r="DH14" i="45" s="1"/>
  <c r="D96" i="37"/>
  <c r="R14" i="45" s="1"/>
  <c r="D22" i="37"/>
  <c r="E3" i="45" s="1"/>
  <c r="D146" i="37"/>
  <c r="AF3" i="45" s="1"/>
  <c r="D78" i="37"/>
  <c r="P3" i="45" s="1"/>
  <c r="D103" i="37"/>
  <c r="V5" i="45" s="1"/>
  <c r="D957" i="37"/>
  <c r="FZ5" i="45" s="1"/>
  <c r="D1021" i="37"/>
  <c r="GP5" i="45" s="1"/>
  <c r="D863" i="37"/>
  <c r="FH5" i="45" s="1"/>
  <c r="D837" i="37"/>
  <c r="FB5" i="45" s="1"/>
  <c r="D567" i="37"/>
  <c r="DC5" i="45" s="1"/>
  <c r="D235" i="37"/>
  <c r="AT5" i="45" s="1"/>
  <c r="D197" i="37"/>
  <c r="AM5" i="45" s="1"/>
  <c r="D503" i="37"/>
  <c r="CT5" i="45" s="1"/>
  <c r="D393" i="37"/>
  <c r="BW5" i="45" s="1"/>
  <c r="D710" i="37"/>
  <c r="EE4" i="45" s="1"/>
  <c r="D533" i="37"/>
  <c r="CX2" i="45" s="1"/>
  <c r="D944" i="37"/>
  <c r="FX6" i="45" s="1"/>
  <c r="D10" i="37"/>
  <c r="B6" i="45" s="1"/>
  <c r="D269" i="37"/>
  <c r="AZ5" i="45" s="1"/>
  <c r="D295" i="37"/>
  <c r="BF5" i="45" s="1"/>
  <c r="D182" i="37"/>
  <c r="AJ5" i="45" s="1"/>
  <c r="D979" i="37"/>
  <c r="GF5" i="45" s="1"/>
  <c r="D821" i="37"/>
  <c r="EX5" i="45" s="1"/>
  <c r="D943" i="37"/>
  <c r="FX5" i="45" s="1"/>
  <c r="D9" i="37"/>
  <c r="B5" i="45" s="1"/>
  <c r="D221" i="37"/>
  <c r="AR5" i="45" s="1"/>
  <c r="D477" i="37"/>
  <c r="CN5" i="45" s="1"/>
  <c r="D733" i="37"/>
  <c r="EH5" i="45" s="1"/>
  <c r="D664" i="37"/>
  <c r="DV5" i="45" s="1"/>
  <c r="D552" i="37"/>
  <c r="CZ5" i="45" s="1"/>
  <c r="D113" i="37"/>
  <c r="X5" i="45" s="1"/>
  <c r="D451" i="37"/>
  <c r="CH5" i="45" s="1"/>
  <c r="D761" i="37"/>
  <c r="EM5" i="45" s="1"/>
  <c r="D876" i="37"/>
  <c r="FJ5" i="45" s="1"/>
  <c r="D151" i="37"/>
  <c r="AF8" i="45" s="1"/>
  <c r="D518" i="37"/>
  <c r="CV11" i="45" s="1"/>
  <c r="D161" i="37"/>
  <c r="AG8" i="45" s="1"/>
  <c r="D577" i="37"/>
  <c r="DE3" i="45" s="1"/>
  <c r="D616" i="37"/>
  <c r="DL3" i="45" s="1"/>
  <c r="D690" i="37"/>
  <c r="EB3" i="45" s="1"/>
  <c r="D81" i="37"/>
  <c r="Q3" i="45" s="1"/>
  <c r="D225" i="37"/>
  <c r="AR9" i="45" s="1"/>
  <c r="D13" i="37"/>
  <c r="B9" i="45" s="1"/>
  <c r="D58" i="37"/>
  <c r="L2" i="45" s="1"/>
  <c r="D578" i="37"/>
  <c r="DE4" i="45" s="1"/>
  <c r="D898" i="37"/>
  <c r="FN4" i="45" s="1"/>
  <c r="D312" i="37"/>
  <c r="BJ6" i="45" s="1"/>
  <c r="D996" i="37"/>
  <c r="GJ6" i="45" s="1"/>
  <c r="D173" i="37"/>
  <c r="AH10" i="45" s="1"/>
  <c r="D703" i="37"/>
  <c r="ED6" i="45" s="1"/>
  <c r="D716" i="37"/>
  <c r="EE10" i="45" s="1"/>
  <c r="D868" i="37"/>
  <c r="FI4" i="45" s="1"/>
  <c r="D713" i="37"/>
  <c r="EE7" i="45" s="1"/>
  <c r="D27" i="37"/>
  <c r="F2" i="45" s="1"/>
  <c r="D751" i="37"/>
  <c r="EL2" i="45" s="1"/>
  <c r="D421" i="37"/>
  <c r="CC2" i="45" s="1"/>
  <c r="D965" i="37"/>
  <c r="GB4" i="45" s="1"/>
  <c r="D36" i="37"/>
  <c r="H3" i="45" s="1"/>
  <c r="D211" i="37"/>
  <c r="AP3" i="45" s="1"/>
  <c r="D249" i="37"/>
  <c r="AW3" i="45" s="1"/>
  <c r="D808" i="37"/>
  <c r="EU4" i="45" s="1"/>
  <c r="D142" i="37"/>
  <c r="AE4" i="45" s="1"/>
  <c r="D251" i="37"/>
  <c r="AW5" i="45" s="1"/>
  <c r="D899" i="37"/>
  <c r="FN5" i="45" s="1"/>
  <c r="D77" i="37"/>
  <c r="P2" i="45" s="1"/>
  <c r="D56" i="37"/>
  <c r="K13" i="45" s="1"/>
  <c r="D229" i="37"/>
  <c r="AR13" i="45" s="1"/>
  <c r="D855" i="37"/>
  <c r="FD13" i="45" s="1"/>
  <c r="D190" i="37"/>
  <c r="AJ13" i="45" s="1"/>
  <c r="D481" i="37"/>
  <c r="CN9" i="45" s="1"/>
  <c r="D954" i="37"/>
  <c r="FZ2" i="45" s="1"/>
  <c r="D308" i="37"/>
  <c r="BJ2" i="45" s="1"/>
  <c r="D519" i="37"/>
  <c r="CV12" i="45" s="1"/>
  <c r="D886" i="37"/>
  <c r="FL4" i="45" s="1"/>
  <c r="D753" i="37"/>
  <c r="EL4" i="45" s="1"/>
  <c r="D325" i="37"/>
  <c r="BM3" i="45" s="1"/>
  <c r="D430" i="37"/>
  <c r="CE3" i="45" s="1"/>
  <c r="D697" i="37"/>
  <c r="EC4" i="45" s="1"/>
  <c r="D506" i="37"/>
  <c r="CU4" i="45" s="1"/>
  <c r="D809" i="37"/>
  <c r="EU5" i="45" s="1"/>
  <c r="D1035" i="37"/>
  <c r="GU2" i="45" s="1"/>
  <c r="D1034" i="37"/>
  <c r="GT2" i="45" s="1"/>
  <c r="D591" i="37"/>
  <c r="DH4" i="45" s="1"/>
  <c r="D774" i="37"/>
  <c r="EP4" i="45" s="1"/>
  <c r="D294" i="37"/>
  <c r="BF4" i="45" s="1"/>
  <c r="D220" i="37"/>
  <c r="AR4" i="45" s="1"/>
  <c r="D367" i="37"/>
  <c r="BR4" i="45" s="1"/>
  <c r="D268" i="37"/>
  <c r="AZ4" i="45" s="1"/>
  <c r="D420" i="37"/>
  <c r="CB7" i="45" s="1"/>
  <c r="D569" i="37"/>
  <c r="DC7" i="45" s="1"/>
  <c r="D287" i="37"/>
  <c r="BD7" i="45" s="1"/>
  <c r="D495" i="37"/>
  <c r="CR7" i="45" s="1"/>
  <c r="D959" i="37"/>
  <c r="FZ7" i="45" s="1"/>
  <c r="D483" i="37"/>
  <c r="CN11" i="45" s="1"/>
  <c r="D558" i="37"/>
  <c r="CZ11" i="45" s="1"/>
  <c r="D301" i="37"/>
  <c r="BF11" i="45" s="1"/>
  <c r="D1011" i="37"/>
  <c r="GL11" i="45" s="1"/>
  <c r="D739" i="37"/>
  <c r="EH11" i="45" s="1"/>
  <c r="D853" i="37"/>
  <c r="FD11" i="45" s="1"/>
  <c r="D598" i="37"/>
  <c r="DH11" i="45" s="1"/>
  <c r="D670" i="37"/>
  <c r="DV11" i="45" s="1"/>
  <c r="D781" i="37"/>
  <c r="EP11" i="45" s="1"/>
  <c r="D515" i="37"/>
  <c r="CV8" i="45" s="1"/>
  <c r="D527" i="37"/>
  <c r="CW8" i="45" s="1"/>
  <c r="D85" i="37"/>
  <c r="R3" i="45" s="1"/>
  <c r="D977" i="37"/>
  <c r="GF3" i="45" s="1"/>
  <c r="D731" i="37"/>
  <c r="EH3" i="45" s="1"/>
  <c r="D1003" i="37"/>
  <c r="GL3" i="45" s="1"/>
  <c r="D111" i="37"/>
  <c r="X3" i="45" s="1"/>
  <c r="D550" i="37"/>
  <c r="CZ3" i="45" s="1"/>
  <c r="D636" i="37"/>
  <c r="DP3" i="45" s="1"/>
  <c r="D449" i="37"/>
  <c r="CH3" i="45" s="1"/>
  <c r="D267" i="37"/>
  <c r="AZ3" i="45" s="1"/>
  <c r="D180" i="37"/>
  <c r="AJ3" i="45" s="1"/>
  <c r="D590" i="37"/>
  <c r="DH3" i="45" s="1"/>
  <c r="D46" i="37"/>
  <c r="K3" i="45" s="1"/>
  <c r="D7" i="37"/>
  <c r="B3" i="45" s="1"/>
  <c r="D819" i="37"/>
  <c r="EX3" i="45" s="1"/>
  <c r="D73" i="37"/>
  <c r="I5" i="45" s="1"/>
  <c r="D394" i="37"/>
  <c r="BX2" i="45" s="1"/>
  <c r="D35" i="37"/>
  <c r="H2" i="45" s="1"/>
  <c r="D248" i="37"/>
  <c r="AW2" i="45" s="1"/>
  <c r="D621" i="37"/>
  <c r="DM2" i="45" s="1"/>
  <c r="D1030" i="37"/>
  <c r="GS2" i="45" s="1"/>
  <c r="D210" i="37"/>
  <c r="AP2" i="45" s="1"/>
  <c r="D695" i="37"/>
  <c r="EC2" i="45" s="1"/>
  <c r="D966" i="37"/>
  <c r="GC2" i="45" s="1"/>
  <c r="D582" i="37"/>
  <c r="DF2" i="45" s="1"/>
  <c r="D504" i="37"/>
  <c r="CU2" i="45" s="1"/>
  <c r="D806" i="37"/>
  <c r="EU2" i="45" s="1"/>
  <c r="D880" i="37"/>
  <c r="FK2" i="45" s="1"/>
  <c r="D324" i="37"/>
  <c r="BM2" i="45" s="1"/>
  <c r="D140" i="37"/>
  <c r="AE2" i="45" s="1"/>
  <c r="D429" i="37"/>
  <c r="CE2" i="45" s="1"/>
  <c r="D933" i="37"/>
  <c r="FV2" i="45" s="1"/>
  <c r="D765" i="37"/>
  <c r="EN2" i="45" s="1"/>
  <c r="D570" i="37"/>
  <c r="DD2" i="45" s="1"/>
  <c r="D167" i="37"/>
  <c r="AH4" i="45" s="1"/>
  <c r="D79" i="37"/>
  <c r="P4" i="45" s="1"/>
  <c r="D147" i="37"/>
  <c r="AF4" i="45" s="1"/>
  <c r="D1036" i="37"/>
  <c r="GV2" i="45" s="1"/>
  <c r="D535" i="37"/>
  <c r="CX4" i="45" s="1"/>
  <c r="D942" i="37"/>
  <c r="FX4" i="45" s="1"/>
  <c r="D476" i="37"/>
  <c r="CN4" i="45" s="1"/>
  <c r="D978" i="37"/>
  <c r="GF4" i="45" s="1"/>
  <c r="D181" i="37"/>
  <c r="AJ4" i="45" s="1"/>
  <c r="D732" i="37"/>
  <c r="EH4" i="45" s="1"/>
  <c r="D908" i="37"/>
  <c r="FP4" i="45" s="1"/>
  <c r="D699" i="37"/>
  <c r="ED2" i="45" s="1"/>
  <c r="D884" i="37"/>
  <c r="FL2" i="45" s="1"/>
  <c r="D997" i="37"/>
  <c r="GJ7" i="45" s="1"/>
  <c r="D839" i="37"/>
  <c r="FB7" i="45" s="1"/>
  <c r="D608" i="37"/>
  <c r="DJ7" i="45" s="1"/>
  <c r="D63" i="37"/>
  <c r="L7" i="45" s="1"/>
  <c r="D682" i="37"/>
  <c r="DZ7" i="45" s="1"/>
  <c r="D791" i="37"/>
  <c r="ER7" i="45" s="1"/>
  <c r="D987" i="37"/>
  <c r="GF13" i="45" s="1"/>
  <c r="D783" i="37"/>
  <c r="EP13" i="45" s="1"/>
  <c r="D646" i="37"/>
  <c r="DP13" i="45" s="1"/>
  <c r="D741" i="37"/>
  <c r="EH13" i="45" s="1"/>
  <c r="D187" i="37"/>
  <c r="AJ10" i="45" s="1"/>
  <c r="D597" i="37"/>
  <c r="DH10" i="45" s="1"/>
  <c r="D738" i="37"/>
  <c r="EH10" i="45" s="1"/>
  <c r="D780" i="37"/>
  <c r="EP10" i="45" s="1"/>
  <c r="D409" i="37"/>
  <c r="BZ10" i="45" s="1"/>
  <c r="D984" i="37"/>
  <c r="GF10" i="45" s="1"/>
  <c r="D300" i="37"/>
  <c r="BF10" i="45" s="1"/>
  <c r="D224" i="37"/>
  <c r="AR8" i="45" s="1"/>
  <c r="D454" i="37"/>
  <c r="CH8" i="45" s="1"/>
  <c r="D272" i="37"/>
  <c r="AZ8" i="45" s="1"/>
  <c r="D946" i="37"/>
  <c r="FX8" i="45" s="1"/>
  <c r="D555" i="37"/>
  <c r="CZ8" i="45" s="1"/>
  <c r="D912" i="37"/>
  <c r="FP8" i="45" s="1"/>
  <c r="D407" i="37"/>
  <c r="BZ8" i="45" s="1"/>
  <c r="D673" i="37"/>
  <c r="DV14" i="45" s="1"/>
  <c r="D230" i="37"/>
  <c r="AR14" i="45" s="1"/>
  <c r="D57" i="37"/>
  <c r="K14" i="45" s="1"/>
  <c r="D122" i="37"/>
  <c r="X14" i="45" s="1"/>
  <c r="D1014" i="37"/>
  <c r="GL14" i="45" s="1"/>
  <c r="D304" i="37"/>
  <c r="BF14" i="45" s="1"/>
  <c r="D827" i="37"/>
  <c r="EX11" i="45" s="1"/>
  <c r="D15" i="37"/>
  <c r="B11" i="45" s="1"/>
  <c r="D915" i="37"/>
  <c r="FP11" i="45" s="1"/>
  <c r="D644" i="37"/>
  <c r="DP11" i="45" s="1"/>
  <c r="D119" i="37"/>
  <c r="X11" i="45" s="1"/>
  <c r="D484" i="37"/>
  <c r="CN12" i="45" s="1"/>
  <c r="D986" i="37"/>
  <c r="GF12" i="45" s="1"/>
  <c r="D16" i="37"/>
  <c r="B12" i="45" s="1"/>
  <c r="D120" i="37"/>
  <c r="X12" i="45" s="1"/>
  <c r="D283" i="37"/>
  <c r="BD3" i="45" s="1"/>
  <c r="D381" i="37"/>
  <c r="BU3" i="45" s="1"/>
  <c r="D652" i="37"/>
  <c r="DT3" i="45" s="1"/>
  <c r="D416" i="37"/>
  <c r="CB3" i="45" s="1"/>
  <c r="D539" i="37"/>
  <c r="CX8" i="45" s="1"/>
  <c r="D907" i="37"/>
  <c r="FP3" i="45" s="1"/>
  <c r="D366" i="37"/>
  <c r="BR3" i="45" s="1"/>
  <c r="D293" i="37"/>
  <c r="BF3" i="45" s="1"/>
  <c r="D475" i="37"/>
  <c r="CN3" i="45" s="1"/>
  <c r="D218" i="37"/>
  <c r="AR2" i="45" s="1"/>
  <c r="D401" i="37"/>
  <c r="BZ2" i="45" s="1"/>
  <c r="D45" i="37"/>
  <c r="K2" i="45" s="1"/>
  <c r="D661" i="37"/>
  <c r="DV2" i="45" s="1"/>
  <c r="D365" i="37"/>
  <c r="BR2" i="45" s="1"/>
  <c r="D110" i="37"/>
  <c r="X2" i="45" s="1"/>
  <c r="D730" i="37"/>
  <c r="EH2" i="45" s="1"/>
  <c r="D906" i="37"/>
  <c r="FP2" i="45" s="1"/>
  <c r="D448" i="37"/>
  <c r="CH2" i="45" s="1"/>
  <c r="D179" i="37"/>
  <c r="AJ2" i="45" s="1"/>
  <c r="D549" i="37"/>
  <c r="CZ2" i="45" s="1"/>
  <c r="D818" i="37"/>
  <c r="EX2" i="45" s="1"/>
  <c r="D589" i="37"/>
  <c r="DH2" i="45" s="1"/>
  <c r="D84" i="37"/>
  <c r="R2" i="45" s="1"/>
  <c r="D6" i="37"/>
  <c r="B2" i="45" s="1"/>
  <c r="D266" i="37"/>
  <c r="AZ2" i="45" s="1"/>
  <c r="D292" i="37"/>
  <c r="BF2" i="45" s="1"/>
  <c r="D474" i="37"/>
  <c r="CN2" i="45" s="1"/>
  <c r="D940" i="37"/>
  <c r="FX2" i="45" s="1"/>
  <c r="D844" i="37"/>
  <c r="FD2" i="45" s="1"/>
  <c r="D635" i="37"/>
  <c r="DP2" i="45" s="1"/>
  <c r="D1002" i="37"/>
  <c r="GL2" i="45" s="1"/>
  <c r="D976" i="37"/>
  <c r="GF2" i="45" s="1"/>
  <c r="D772" i="37"/>
  <c r="EP2" i="45" s="1"/>
  <c r="D30" i="37"/>
  <c r="F5" i="45" s="1"/>
  <c r="D112" i="37"/>
  <c r="X4" i="45" s="1"/>
  <c r="D450" i="37"/>
  <c r="CH4" i="45" s="1"/>
  <c r="D846" i="37"/>
  <c r="FD4" i="45" s="1"/>
  <c r="D1004" i="37"/>
  <c r="GL4" i="45" s="1"/>
  <c r="D86" i="37"/>
  <c r="R4" i="45" s="1"/>
  <c r="D8" i="37"/>
  <c r="B4" i="45" s="1"/>
  <c r="D656" i="37"/>
  <c r="DT7" i="45" s="1"/>
  <c r="D469" i="37"/>
  <c r="CL7" i="45" s="1"/>
  <c r="D750" i="37"/>
  <c r="EK7" i="45" s="1"/>
  <c r="D131" i="37"/>
  <c r="AB7" i="45" s="1"/>
  <c r="D199" i="37"/>
  <c r="AM7" i="45" s="1"/>
  <c r="D385" i="37"/>
  <c r="BU7" i="45" s="1"/>
  <c r="D456" i="37"/>
  <c r="CH10" i="45" s="1"/>
  <c r="D914" i="37"/>
  <c r="FP10" i="45" s="1"/>
  <c r="D948" i="37"/>
  <c r="FX10" i="45" s="1"/>
  <c r="D557" i="37"/>
  <c r="CZ10" i="45" s="1"/>
  <c r="D736" i="37"/>
  <c r="EH8" i="45" s="1"/>
  <c r="D1008" i="37"/>
  <c r="GL8" i="45" s="1"/>
  <c r="D185" i="37"/>
  <c r="AJ8" i="45" s="1"/>
  <c r="D90" i="37"/>
  <c r="R8" i="45" s="1"/>
  <c r="D988" i="37"/>
  <c r="GF14" i="45" s="1"/>
  <c r="D742" i="37"/>
  <c r="EH14" i="45" s="1"/>
  <c r="D278" i="37"/>
  <c r="AZ14" i="45" s="1"/>
  <c r="D18" i="37"/>
  <c r="B14" i="45" s="1"/>
  <c r="D377" i="37"/>
  <c r="BR14" i="45" s="1"/>
  <c r="D191" i="37"/>
  <c r="AJ14" i="45" s="1"/>
  <c r="D784" i="37"/>
  <c r="EP14" i="45" s="1"/>
  <c r="D457" i="37"/>
  <c r="CH11" i="45" s="1"/>
  <c r="D93" i="37"/>
  <c r="R11" i="45" s="1"/>
  <c r="D374" i="37"/>
  <c r="BR11" i="45" s="1"/>
  <c r="D227" i="37"/>
  <c r="AR11" i="45" s="1"/>
  <c r="D54" i="37"/>
  <c r="K11" i="45" s="1"/>
  <c r="D828" i="37"/>
  <c r="EX12" i="45" s="1"/>
  <c r="D782" i="37"/>
  <c r="EP12" i="45" s="1"/>
  <c r="D228" i="37"/>
  <c r="AR12" i="45" s="1"/>
  <c r="D55" i="37"/>
  <c r="K12" i="45" s="1"/>
  <c r="D465" i="37"/>
  <c r="CL3" i="45" s="1"/>
  <c r="D491" i="37"/>
  <c r="CR3" i="45" s="1"/>
  <c r="D604" i="37"/>
  <c r="DJ3" i="45" s="1"/>
  <c r="D922" i="37"/>
  <c r="FS3" i="45" s="1"/>
  <c r="D233" i="37"/>
  <c r="AT3" i="45" s="1"/>
  <c r="D861" i="37"/>
  <c r="FH3" i="45" s="1"/>
  <c r="D59" i="37"/>
  <c r="L3" i="45" s="1"/>
  <c r="D835" i="37"/>
  <c r="FB3" i="45" s="1"/>
  <c r="D993" i="37"/>
  <c r="GJ3" i="45" s="1"/>
  <c r="D678" i="37"/>
  <c r="DZ3" i="45" s="1"/>
  <c r="D195" i="37"/>
  <c r="AM3" i="45" s="1"/>
  <c r="D101" i="37"/>
  <c r="V3" i="45" s="1"/>
  <c r="D787" i="37"/>
  <c r="ER3" i="45" s="1"/>
  <c r="D152" i="37"/>
  <c r="AF9" i="45" s="1"/>
  <c r="D172" i="37"/>
  <c r="AH9" i="45" s="1"/>
  <c r="D941" i="37"/>
  <c r="FX3" i="45" s="1"/>
  <c r="D845" i="37"/>
  <c r="FD3" i="45" s="1"/>
  <c r="D219" i="37"/>
  <c r="AR3" i="45" s="1"/>
  <c r="D820" i="37"/>
  <c r="EX4" i="45" s="1"/>
  <c r="D663" i="37"/>
  <c r="DV4" i="45" s="1"/>
  <c r="D47" i="37"/>
  <c r="K4" i="45" s="1"/>
  <c r="D637" i="37"/>
  <c r="DP4" i="45" s="1"/>
  <c r="D403" i="37"/>
  <c r="BZ4" i="45" s="1"/>
  <c r="D105" i="37"/>
  <c r="V7" i="45" s="1"/>
  <c r="D313" i="37"/>
  <c r="BJ7" i="45" s="1"/>
  <c r="D237" i="37"/>
  <c r="AT7" i="45" s="1"/>
  <c r="D1023" i="37"/>
  <c r="GP7" i="45" s="1"/>
  <c r="D865" i="37"/>
  <c r="FH7" i="45" s="1"/>
  <c r="D926" i="37"/>
  <c r="FS7" i="45" s="1"/>
  <c r="D647" i="37"/>
  <c r="DP14" i="45" s="1"/>
  <c r="D561" i="37"/>
  <c r="CZ14" i="45" s="1"/>
  <c r="D830" i="37"/>
  <c r="EX14" i="45" s="1"/>
  <c r="D486" i="37"/>
  <c r="CN14" i="45" s="1"/>
  <c r="D188" i="37"/>
  <c r="AJ11" i="45" s="1"/>
  <c r="D985" i="37"/>
  <c r="GF11" i="45" s="1"/>
  <c r="D275" i="37"/>
  <c r="AZ11" i="45" s="1"/>
  <c r="D410" i="37"/>
  <c r="BZ11" i="45" s="1"/>
  <c r="D949" i="37"/>
  <c r="FX11" i="45" s="1"/>
  <c r="D534" i="37"/>
  <c r="CX3" i="45" s="1"/>
  <c r="D440" i="37"/>
  <c r="CF3" i="45" s="1"/>
  <c r="D950" i="37"/>
  <c r="FX12" i="45" s="1"/>
  <c r="D276" i="37"/>
  <c r="AZ12" i="45" s="1"/>
  <c r="D916" i="37"/>
  <c r="FP12" i="45" s="1"/>
  <c r="D740" i="37"/>
  <c r="EH12" i="45" s="1"/>
  <c r="D189" i="37"/>
  <c r="AJ12" i="45" s="1"/>
  <c r="D559" i="37"/>
  <c r="CZ12" i="45" s="1"/>
  <c r="D302" i="37"/>
  <c r="BF12" i="45" s="1"/>
  <c r="D458" i="37"/>
  <c r="CH12" i="45" s="1"/>
  <c r="D671" i="37"/>
  <c r="DV12" i="45" s="1"/>
  <c r="D411" i="37"/>
  <c r="BZ12" i="45" s="1"/>
  <c r="D127" i="37"/>
  <c r="AB3" i="45" s="1"/>
  <c r="D402" i="37"/>
  <c r="BZ3" i="45" s="1"/>
  <c r="D773" i="37"/>
  <c r="EP3" i="45" s="1"/>
  <c r="D662" i="37"/>
  <c r="DV3" i="45" s="1"/>
  <c r="D314" i="37"/>
  <c r="BK2" i="45" s="1"/>
  <c r="D442" i="37"/>
  <c r="CF5" i="45" s="1"/>
  <c r="D813" i="37"/>
  <c r="EV3" i="45" s="1"/>
  <c r="D718" i="37"/>
  <c r="EF3" i="45" s="1"/>
  <c r="D629" i="37"/>
  <c r="DN3" i="45" s="1"/>
  <c r="D803" i="37"/>
  <c r="ET6" i="45" s="1"/>
  <c r="D619" i="37"/>
  <c r="DL6" i="45" s="1"/>
  <c r="D581" i="37"/>
  <c r="DE7" i="45" s="1"/>
  <c r="D531" i="37"/>
  <c r="CW12" i="45" s="1"/>
  <c r="D704" i="37"/>
  <c r="ED7" i="45" s="1"/>
  <c r="D150" i="37"/>
  <c r="AF7" i="45" s="1"/>
  <c r="D260" i="37"/>
  <c r="AX5" i="45" s="1"/>
  <c r="D614" i="37"/>
  <c r="DK7" i="45" s="1"/>
  <c r="D872" i="37"/>
  <c r="FI8" i="45" s="1"/>
  <c r="D757" i="37"/>
  <c r="EL8" i="45" s="1"/>
  <c r="D317" i="37"/>
  <c r="BK5" i="45" s="1"/>
  <c r="D203" i="37"/>
  <c r="AN5" i="45" s="1"/>
  <c r="D241" i="37"/>
  <c r="AU5" i="45" s="1"/>
  <c r="D178" i="37"/>
  <c r="AI5" i="45" s="1"/>
  <c r="D660" i="37"/>
  <c r="DU5" i="45" s="1"/>
  <c r="D729" i="37"/>
  <c r="EG5" i="45" s="1"/>
  <c r="D265" i="37"/>
  <c r="AY5" i="45" s="1"/>
  <c r="D771" i="37"/>
  <c r="EO5" i="45" s="1"/>
  <c r="D400" i="37"/>
  <c r="BY5" i="45" s="1"/>
  <c r="D44" i="37"/>
  <c r="J5" i="45" s="1"/>
  <c r="D905" i="37"/>
  <c r="FO5" i="45" s="1"/>
  <c r="D548" i="37"/>
  <c r="CY5" i="45" s="1"/>
  <c r="D634" i="37"/>
  <c r="DO5" i="45" s="1"/>
  <c r="D217" i="37"/>
  <c r="AQ5" i="45" s="1"/>
  <c r="D939" i="37"/>
  <c r="FW5" i="45" s="1"/>
  <c r="D83" i="37"/>
  <c r="Q5" i="45" s="1"/>
  <c r="D291" i="37"/>
  <c r="BE5" i="45" s="1"/>
  <c r="D109" i="37"/>
  <c r="W5" i="45" s="1"/>
  <c r="D975" i="37"/>
  <c r="GE5" i="45" s="1"/>
  <c r="D5" i="37"/>
  <c r="A5" i="45" s="1"/>
  <c r="D588" i="37"/>
  <c r="DG5" i="45" s="1"/>
  <c r="D52" i="37"/>
  <c r="K9" i="45" s="1"/>
  <c r="D596" i="37"/>
  <c r="DH9" i="45" s="1"/>
  <c r="D408" i="37"/>
  <c r="BZ9" i="45" s="1"/>
  <c r="D668" i="37"/>
  <c r="DV9" i="45" s="1"/>
  <c r="D299" i="37"/>
  <c r="BF9" i="45" s="1"/>
  <c r="D642" i="37"/>
  <c r="DP9" i="45" s="1"/>
  <c r="D556" i="37"/>
  <c r="CZ9" i="45" s="1"/>
  <c r="D455" i="37"/>
  <c r="CH9" i="45" s="1"/>
  <c r="D737" i="37"/>
  <c r="EH9" i="45" s="1"/>
  <c r="D117" i="37"/>
  <c r="X9" i="45" s="1"/>
  <c r="D464" i="37"/>
  <c r="CL2" i="45" s="1"/>
  <c r="D100" i="37"/>
  <c r="V2" i="45" s="1"/>
  <c r="D415" i="37"/>
  <c r="CB2" i="45" s="1"/>
  <c r="D786" i="37"/>
  <c r="ER2" i="45" s="1"/>
  <c r="D860" i="37"/>
  <c r="FH2" i="45" s="1"/>
  <c r="D603" i="37"/>
  <c r="DJ2" i="45" s="1"/>
  <c r="D735" i="37"/>
  <c r="EH7" i="45" s="1"/>
  <c r="D223" i="37"/>
  <c r="AR7" i="45" s="1"/>
  <c r="D911" i="37"/>
  <c r="FP7" i="45" s="1"/>
  <c r="D271" i="37"/>
  <c r="AZ7" i="45" s="1"/>
  <c r="D640" i="37"/>
  <c r="DP7" i="45" s="1"/>
  <c r="D1007" i="37"/>
  <c r="GL7" i="45" s="1"/>
  <c r="D823" i="37"/>
  <c r="EX7" i="45" s="1"/>
  <c r="D89" i="37"/>
  <c r="R7" i="45" s="1"/>
  <c r="D666" i="37"/>
  <c r="DV7" i="45" s="1"/>
  <c r="D849" i="37"/>
  <c r="FD7" i="45" s="1"/>
  <c r="D370" i="37"/>
  <c r="BR7" i="45" s="1"/>
  <c r="D961" i="37"/>
  <c r="GA3" i="45" s="1"/>
  <c r="D148" i="37"/>
  <c r="AF5" i="45" s="1"/>
  <c r="D520" i="37"/>
  <c r="CV13" i="45" s="1"/>
  <c r="D536" i="37"/>
  <c r="CX5" i="45" s="1"/>
  <c r="D174" i="37"/>
  <c r="AH11" i="45" s="1"/>
  <c r="D502" i="37"/>
  <c r="CT4" i="45" s="1"/>
  <c r="D874" i="37"/>
  <c r="FJ3" i="45" s="1"/>
  <c r="D889" i="37"/>
  <c r="FL7" i="45" s="1"/>
  <c r="D206" i="37"/>
  <c r="AO3" i="45" s="1"/>
  <c r="D689" i="37"/>
  <c r="EB2" i="45" s="1"/>
  <c r="D259" i="37"/>
  <c r="AX4" i="45" s="1"/>
  <c r="D891" i="37"/>
  <c r="FM3" i="45" s="1"/>
  <c r="D700" i="37"/>
  <c r="ED3" i="45" s="1"/>
  <c r="D509" i="37"/>
  <c r="CV2" i="45" s="1"/>
  <c r="D579" i="37"/>
  <c r="DE5" i="45" s="1"/>
  <c r="D580" i="37"/>
  <c r="DE6" i="45" s="1"/>
  <c r="D764" i="37"/>
  <c r="EM8" i="45" s="1"/>
  <c r="D344" i="37"/>
  <c r="BO7" i="45" s="1"/>
  <c r="D711" i="37"/>
  <c r="EE5" i="45" s="1"/>
  <c r="D702" i="37"/>
  <c r="ED5" i="45" s="1"/>
  <c r="D104" i="37"/>
  <c r="V6" i="45" s="1"/>
  <c r="D236" i="37"/>
  <c r="AT6" i="45" s="1"/>
  <c r="D655" i="37"/>
  <c r="DT6" i="45" s="1"/>
  <c r="D543" i="37"/>
  <c r="CX12" i="45" s="1"/>
  <c r="D963" i="37"/>
  <c r="GB2" i="45" s="1"/>
  <c r="D712" i="37"/>
  <c r="EE6" i="45" s="1"/>
  <c r="D542" i="37"/>
  <c r="CX11" i="45" s="1"/>
  <c r="D353" i="37"/>
  <c r="BP5" i="45" s="1"/>
  <c r="D390" i="37"/>
  <c r="BW2" i="45" s="1"/>
  <c r="D798" i="37"/>
  <c r="ES8" i="45" s="1"/>
  <c r="D1026" i="37"/>
  <c r="GQ4" i="45" s="1"/>
  <c r="D929" i="37"/>
  <c r="FT4" i="45" s="1"/>
  <c r="D962" i="37"/>
  <c r="GA4" i="45" s="1"/>
  <c r="D382" i="37"/>
  <c r="BU4" i="45" s="1"/>
  <c r="D836" i="37"/>
  <c r="FB4" i="45" s="1"/>
  <c r="D23" i="37"/>
  <c r="E4" i="45" s="1"/>
  <c r="D128" i="37"/>
  <c r="AB4" i="45" s="1"/>
  <c r="D862" i="37"/>
  <c r="FH4" i="45" s="1"/>
  <c r="D492" i="37"/>
  <c r="CR4" i="45" s="1"/>
  <c r="D1020" i="37"/>
  <c r="GP4" i="45" s="1"/>
  <c r="D466" i="37"/>
  <c r="CL4" i="45" s="1"/>
  <c r="D196" i="37"/>
  <c r="AM4" i="45" s="1"/>
  <c r="D417" i="37"/>
  <c r="CB4" i="45" s="1"/>
  <c r="D923" i="37"/>
  <c r="FS4" i="45" s="1"/>
  <c r="D605" i="37"/>
  <c r="DJ4" i="45" s="1"/>
  <c r="D956" i="37"/>
  <c r="FZ4" i="45" s="1"/>
  <c r="D566" i="37"/>
  <c r="DC4" i="45" s="1"/>
  <c r="D679" i="37"/>
  <c r="DZ4" i="45" s="1"/>
  <c r="D284" i="37"/>
  <c r="BD4" i="45" s="1"/>
  <c r="D788" i="37"/>
  <c r="ER4" i="45" s="1"/>
  <c r="D994" i="37"/>
  <c r="GJ4" i="45" s="1"/>
  <c r="D338" i="37"/>
  <c r="BN12" i="45" s="1"/>
  <c r="D349" i="37"/>
  <c r="BO12" i="45" s="1"/>
  <c r="D473" i="37"/>
  <c r="CM5" i="45" s="1"/>
  <c r="D843" i="37"/>
  <c r="FC5" i="45" s="1"/>
  <c r="D947" i="37"/>
  <c r="FX9" i="45" s="1"/>
  <c r="D186" i="37"/>
  <c r="AJ9" i="45" s="1"/>
  <c r="D1009" i="37"/>
  <c r="GL9" i="45" s="1"/>
  <c r="D372" i="37"/>
  <c r="BR9" i="45" s="1"/>
  <c r="D91" i="37"/>
  <c r="R9" i="45" s="1"/>
  <c r="D606" i="37"/>
  <c r="DJ5" i="45" s="1"/>
  <c r="D789" i="37"/>
  <c r="ER5" i="45" s="1"/>
  <c r="D995" i="37"/>
  <c r="GJ5" i="45" s="1"/>
  <c r="D680" i="37"/>
  <c r="DZ5" i="45" s="1"/>
  <c r="D311" i="37"/>
  <c r="BJ5" i="45" s="1"/>
  <c r="D383" i="37"/>
  <c r="BU5" i="45" s="1"/>
  <c r="D24" i="37"/>
  <c r="E5" i="45" s="1"/>
  <c r="D61" i="37"/>
  <c r="L5" i="45" s="1"/>
  <c r="D493" i="37"/>
  <c r="CR5" i="45" s="1"/>
  <c r="D924" i="37"/>
  <c r="FS5" i="45" s="1"/>
  <c r="D418" i="37"/>
  <c r="CB5" i="45" s="1"/>
  <c r="D126" i="37"/>
  <c r="AB2" i="45" s="1"/>
  <c r="D677" i="37"/>
  <c r="DZ2" i="45" s="1"/>
  <c r="D490" i="37"/>
  <c r="CR2" i="45" s="1"/>
  <c r="D282" i="37"/>
  <c r="BD2" i="45" s="1"/>
  <c r="D21" i="37"/>
  <c r="E2" i="45" s="1"/>
  <c r="D380" i="37"/>
  <c r="BU2" i="45" s="1"/>
  <c r="D238" i="37"/>
  <c r="AU2" i="45" s="1"/>
  <c r="D512" i="37"/>
  <c r="CV5" i="45" s="1"/>
  <c r="D427" i="37"/>
  <c r="CD4" i="45" s="1"/>
  <c r="D901" i="37"/>
  <c r="FN7" i="45" s="1"/>
  <c r="D617" i="37"/>
  <c r="DL4" i="45" s="1"/>
  <c r="D516" i="37"/>
  <c r="CV9" i="45" s="1"/>
  <c r="D885" i="37"/>
  <c r="FL3" i="45" s="1"/>
  <c r="D521" i="37"/>
  <c r="CW2" i="45" s="1"/>
  <c r="D762" i="37"/>
  <c r="EM6" i="45" s="1"/>
  <c r="D879" i="37"/>
  <c r="FJ8" i="45" s="1"/>
  <c r="D720" i="37"/>
  <c r="EF5" i="45" s="1"/>
  <c r="D1028" i="37"/>
  <c r="GR3" i="45" s="1"/>
  <c r="D130" i="37"/>
  <c r="AB6" i="45" s="1"/>
  <c r="D25" i="37"/>
  <c r="E6" i="45" s="1"/>
  <c r="D494" i="37"/>
  <c r="CR6" i="45" s="1"/>
  <c r="D958" i="37"/>
  <c r="FZ6" i="45" s="1"/>
  <c r="D925" i="37"/>
  <c r="FS6" i="45" s="1"/>
  <c r="D419" i="37"/>
  <c r="CB6" i="45" s="1"/>
  <c r="D681" i="37"/>
  <c r="DZ6" i="45" s="1"/>
  <c r="D749" i="37"/>
  <c r="EK6" i="45" s="1"/>
  <c r="D790" i="37"/>
  <c r="ER6" i="45" s="1"/>
  <c r="D198" i="37"/>
  <c r="AM6" i="45" s="1"/>
  <c r="D568" i="37"/>
  <c r="DC6" i="45" s="1"/>
  <c r="D802" i="37"/>
  <c r="ET5" i="45" s="1"/>
  <c r="D153" i="37"/>
  <c r="AF10" i="45" s="1"/>
  <c r="D930" i="37"/>
  <c r="FU2" i="45" s="1"/>
  <c r="D160" i="37"/>
  <c r="AG7" i="45" s="1"/>
  <c r="D171" i="37"/>
  <c r="AH8" i="45" s="1"/>
  <c r="D530" i="37"/>
  <c r="CW11" i="45" s="1"/>
  <c r="D342" i="37"/>
  <c r="BO5" i="45" s="1"/>
  <c r="D315" i="37"/>
  <c r="BK3" i="45" s="1"/>
  <c r="D575" i="37"/>
  <c r="DD7" i="45" s="1"/>
  <c r="D754" i="37"/>
  <c r="EL5" i="45" s="1"/>
  <c r="D869" i="37"/>
  <c r="FI5" i="45" s="1"/>
  <c r="D423" i="37"/>
  <c r="CC4" i="45" s="1"/>
  <c r="D498" i="37"/>
  <c r="CS4" i="45" s="1"/>
  <c r="D310" i="37"/>
  <c r="BJ4" i="45" s="1"/>
  <c r="D234" i="37"/>
  <c r="AT4" i="45" s="1"/>
  <c r="D755" i="37"/>
  <c r="EL6" i="45" s="1"/>
  <c r="D613" i="37"/>
  <c r="DK6" i="45" s="1"/>
  <c r="D796" i="37"/>
  <c r="ES6" i="45" s="1"/>
  <c r="D870" i="37"/>
  <c r="FI6" i="45" s="1"/>
  <c r="D321" i="37"/>
  <c r="BL4" i="45" s="1"/>
  <c r="D245" i="37"/>
  <c r="AV4" i="45" s="1"/>
  <c r="D360" i="37"/>
  <c r="BP12" i="45" s="1"/>
  <c r="D968" i="37"/>
  <c r="GC4" i="45" s="1"/>
  <c r="D75" i="37"/>
  <c r="I7" i="45" s="1"/>
  <c r="D584" i="37"/>
  <c r="DF4" i="45" s="1"/>
  <c r="D326" i="37"/>
  <c r="BM4" i="45" s="1"/>
  <c r="D935" i="37"/>
  <c r="FV4" i="45" s="1"/>
  <c r="D143" i="37"/>
  <c r="AE5" i="45" s="1"/>
  <c r="D507" i="37"/>
  <c r="CU5" i="45" s="1"/>
  <c r="D1033" i="37"/>
  <c r="GS5" i="45" s="1"/>
  <c r="D213" i="37"/>
  <c r="AP5" i="45" s="1"/>
  <c r="D37" i="37"/>
  <c r="H4" i="45" s="1"/>
  <c r="D623" i="37"/>
  <c r="DM4" i="45" s="1"/>
  <c r="D396" i="37"/>
  <c r="BX4" i="45" s="1"/>
  <c r="D767" i="37"/>
  <c r="EN4" i="45" s="1"/>
  <c r="D1001" i="37"/>
  <c r="GK5" i="45" s="1"/>
  <c r="D364" i="37"/>
  <c r="BQ5" i="45" s="1"/>
  <c r="D800" i="37"/>
  <c r="ET3" i="45" s="1"/>
  <c r="D725" i="37"/>
  <c r="EF10" i="45" s="1"/>
  <c r="D714" i="37"/>
  <c r="EE8" i="45" s="1"/>
  <c r="D244" i="37"/>
  <c r="AV3" i="45" s="1"/>
  <c r="D897" i="37"/>
  <c r="FN3" i="45" s="1"/>
  <c r="D709" i="37"/>
  <c r="EE3" i="45" s="1"/>
  <c r="D877" i="37"/>
  <c r="FJ6" i="45" s="1"/>
  <c r="D620" i="37"/>
  <c r="DL7" i="45" s="1"/>
  <c r="D356" i="37"/>
  <c r="BP8" i="45" s="1"/>
  <c r="D722" i="37"/>
  <c r="EF7" i="45" s="1"/>
  <c r="D345" i="37"/>
  <c r="BO8" i="45" s="1"/>
  <c r="D497" i="37"/>
  <c r="CS3" i="45" s="1"/>
  <c r="D387" i="37"/>
  <c r="BV3" i="45" s="1"/>
  <c r="D422" i="37"/>
  <c r="CC3" i="45" s="1"/>
  <c r="D426" i="37"/>
  <c r="CD3" i="45" s="1"/>
  <c r="D501" i="37"/>
  <c r="CT3" i="45" s="1"/>
  <c r="D795" i="37"/>
  <c r="ES5" i="45" s="1"/>
  <c r="D804" i="37"/>
  <c r="ET7" i="45" s="1"/>
  <c r="D763" i="37"/>
  <c r="EM7" i="45" s="1"/>
  <c r="D388" i="37"/>
  <c r="BV4" i="45" s="1"/>
  <c r="D102" i="37"/>
  <c r="V4" i="45" s="1"/>
  <c r="D747" i="37"/>
  <c r="EK4" i="45" s="1"/>
  <c r="D574" i="37"/>
  <c r="DD6" i="45" s="1"/>
  <c r="D207" i="37"/>
  <c r="AO4" i="45" s="1"/>
  <c r="D432" i="37"/>
  <c r="CE5" i="45" s="1"/>
  <c r="D250" i="37"/>
  <c r="AW4" i="45" s="1"/>
  <c r="D447" i="37"/>
  <c r="CG5" i="45" s="1"/>
  <c r="D817" i="37"/>
  <c r="EW5" i="45" s="1"/>
  <c r="D369" i="37"/>
  <c r="BR6" i="45" s="1"/>
  <c r="D734" i="37"/>
  <c r="EH6" i="45" s="1"/>
  <c r="D593" i="37"/>
  <c r="DH6" i="45" s="1"/>
  <c r="D222" i="37"/>
  <c r="AR6" i="45" s="1"/>
  <c r="D48" i="37"/>
  <c r="K5" i="45" s="1"/>
  <c r="D847" i="37"/>
  <c r="FD5" i="45" s="1"/>
  <c r="D368" i="37"/>
  <c r="BR5" i="45" s="1"/>
  <c r="D909" i="37"/>
  <c r="FP5" i="45" s="1"/>
  <c r="D202" i="37"/>
  <c r="AN4" i="45" s="1"/>
  <c r="D316" i="37"/>
  <c r="BK4" i="45" s="1"/>
  <c r="D875" i="37"/>
  <c r="FJ4" i="45" s="1"/>
  <c r="D801" i="37"/>
  <c r="ET4" i="45" s="1"/>
  <c r="D424" i="37"/>
  <c r="CC5" i="45" s="1"/>
  <c r="D389" i="37"/>
  <c r="BV5" i="45" s="1"/>
  <c r="D323" i="37"/>
  <c r="BL6" i="45" s="1"/>
  <c r="D209" i="37"/>
  <c r="AO6" i="45" s="1"/>
  <c r="D546" i="37"/>
  <c r="CY3" i="45" s="1"/>
  <c r="D362" i="37"/>
  <c r="BQ3" i="45" s="1"/>
  <c r="D999" i="37"/>
  <c r="GK3" i="45" s="1"/>
  <c r="D107" i="37"/>
  <c r="W3" i="45" s="1"/>
  <c r="D3" i="37"/>
  <c r="A3" i="45" s="1"/>
  <c r="D973" i="37"/>
  <c r="GE3" i="45" s="1"/>
  <c r="D398" i="37"/>
  <c r="BY3" i="45" s="1"/>
  <c r="D445" i="37"/>
  <c r="CG3" i="45" s="1"/>
  <c r="D937" i="37"/>
  <c r="FW3" i="45" s="1"/>
  <c r="D769" i="37"/>
  <c r="EO3" i="45" s="1"/>
  <c r="D471" i="37"/>
  <c r="CM3" i="45" s="1"/>
  <c r="D632" i="37"/>
  <c r="DO3" i="45" s="1"/>
  <c r="D215" i="37"/>
  <c r="AQ3" i="45" s="1"/>
  <c r="D903" i="37"/>
  <c r="FO3" i="45" s="1"/>
  <c r="D289" i="37"/>
  <c r="BE3" i="45" s="1"/>
  <c r="D586" i="37"/>
  <c r="DG3" i="45" s="1"/>
  <c r="D724" i="37"/>
  <c r="EF9" i="45" s="1"/>
  <c r="D881" i="37"/>
  <c r="FK3" i="45" s="1"/>
  <c r="D696" i="37"/>
  <c r="EC3" i="45" s="1"/>
  <c r="D395" i="37"/>
  <c r="BX3" i="45" s="1"/>
  <c r="D1031" i="37"/>
  <c r="GS3" i="45" s="1"/>
  <c r="D212" i="37"/>
  <c r="AP4" i="45" s="1"/>
  <c r="D969" i="37"/>
  <c r="GC5" i="45" s="1"/>
  <c r="D698" i="37"/>
  <c r="EC5" i="45" s="1"/>
  <c r="D508" i="37"/>
  <c r="CU6" i="45" s="1"/>
  <c r="D967" i="37"/>
  <c r="GC3" i="45" s="1"/>
  <c r="D622" i="37"/>
  <c r="DM3" i="45" s="1"/>
  <c r="D505" i="37"/>
  <c r="CU3" i="45" s="1"/>
  <c r="D883" i="37"/>
  <c r="FK5" i="45" s="1"/>
  <c r="D327" i="37"/>
  <c r="BM5" i="45" s="1"/>
  <c r="D76" i="37"/>
  <c r="I8" i="45" s="1"/>
  <c r="D290" i="37"/>
  <c r="BE4" i="45" s="1"/>
  <c r="D938" i="37"/>
  <c r="FW4" i="45" s="1"/>
  <c r="D472" i="37"/>
  <c r="CM4" i="45" s="1"/>
  <c r="D446" i="37"/>
  <c r="CG4" i="45" s="1"/>
  <c r="D659" i="37"/>
  <c r="DU4" i="45" s="1"/>
  <c r="D770" i="37"/>
  <c r="EO4" i="45" s="1"/>
  <c r="D363" i="37"/>
  <c r="BQ4" i="45" s="1"/>
  <c r="D587" i="37"/>
  <c r="DG4" i="45" s="1"/>
  <c r="D216" i="37"/>
  <c r="AQ4" i="45" s="1"/>
  <c r="D633" i="37"/>
  <c r="DO4" i="45" s="1"/>
  <c r="D399" i="37"/>
  <c r="BY4" i="45" s="1"/>
  <c r="D547" i="37"/>
  <c r="CY4" i="45" s="1"/>
  <c r="D264" i="37"/>
  <c r="AY4" i="45" s="1"/>
  <c r="D43" i="37"/>
  <c r="J4" i="45" s="1"/>
  <c r="D904" i="37"/>
  <c r="FO4" i="45" s="1"/>
  <c r="D108" i="37"/>
  <c r="W4" i="45" s="1"/>
  <c r="D177" i="37"/>
  <c r="AI4" i="45" s="1"/>
  <c r="D4" i="37"/>
  <c r="A4" i="45" s="1"/>
  <c r="D82" i="37"/>
  <c r="Q4" i="45" s="1"/>
  <c r="D1000" i="37"/>
  <c r="GK4" i="45" s="1"/>
  <c r="D842" i="37"/>
  <c r="FC4" i="45" s="1"/>
  <c r="D974" i="37"/>
  <c r="GE4" i="45" s="1"/>
  <c r="D728" i="37"/>
  <c r="EG4" i="45" s="1"/>
  <c r="D816" i="37"/>
  <c r="EW4" i="45" s="1"/>
  <c r="G32" i="56" l="1"/>
  <c r="G37" i="55"/>
  <c r="F2" i="56"/>
  <c r="F6" i="56" s="1"/>
  <c r="F12" i="55"/>
  <c r="F16" i="55" s="1"/>
  <c r="F7" i="55"/>
  <c r="F11" i="55" s="1"/>
  <c r="G12" i="56"/>
  <c r="F12" i="56"/>
  <c r="F16" i="56" s="1"/>
  <c r="G2" i="56"/>
  <c r="G2" i="25"/>
  <c r="G12" i="58"/>
  <c r="F12" i="58"/>
  <c r="F16" i="58" s="1"/>
  <c r="G7" i="58"/>
  <c r="F7" i="58"/>
  <c r="F11" i="58" s="1"/>
  <c r="F7" i="56"/>
  <c r="F11" i="56" s="1"/>
  <c r="G27" i="55"/>
  <c r="F27" i="55"/>
  <c r="F31" i="55" s="1"/>
  <c r="G22" i="55"/>
  <c r="F22" i="55"/>
  <c r="F26" i="55" s="1"/>
  <c r="F2" i="58"/>
  <c r="F6" i="58" s="1"/>
  <c r="F37" i="56"/>
  <c r="F41" i="56" s="1"/>
  <c r="G2" i="58"/>
  <c r="G7" i="56"/>
  <c r="G37" i="56"/>
  <c r="G12" i="55"/>
  <c r="F2" i="55"/>
  <c r="F6" i="55" s="1"/>
  <c r="G2" i="55"/>
  <c r="G7" i="55"/>
  <c r="G27" i="25"/>
  <c r="G32" i="25"/>
  <c r="G17" i="25"/>
  <c r="G22" i="25"/>
  <c r="G12" i="25"/>
  <c r="F37" i="25"/>
  <c r="F41" i="25" s="1"/>
  <c r="G37" i="25"/>
  <c r="G7" i="25"/>
  <c r="F12" i="25"/>
  <c r="F16" i="25" s="1"/>
  <c r="F32" i="25"/>
  <c r="F36" i="25" s="1"/>
  <c r="F7" i="25"/>
  <c r="F11" i="25" s="1"/>
  <c r="F2" i="25"/>
  <c r="F6" i="25" s="1"/>
  <c r="D1015" i="37"/>
  <c r="GM2" i="45" s="1"/>
  <c r="D953" i="37"/>
  <c r="FY2" i="45" s="1"/>
  <c r="D989" i="37"/>
  <c r="GG2" i="45" s="1"/>
  <c r="D857" i="37"/>
  <c r="FE2" i="45" s="1"/>
  <c r="D919" i="37"/>
  <c r="FQ2" i="45" s="1"/>
  <c r="D785" i="37"/>
  <c r="EQ2" i="45" s="1"/>
  <c r="D831" i="37"/>
  <c r="EY2" i="45" s="1"/>
  <c r="D674" i="37"/>
  <c r="DW2" i="45" s="1"/>
  <c r="D743" i="37"/>
  <c r="EI2" i="45" s="1"/>
  <c r="D602" i="37"/>
  <c r="DI2" i="45" s="1"/>
  <c r="D648" i="37"/>
  <c r="DQ2" i="45" s="1"/>
  <c r="D487" i="37"/>
  <c r="CO2" i="45" s="1"/>
  <c r="D562" i="37"/>
  <c r="DA2" i="45" s="1"/>
  <c r="D414" i="37"/>
  <c r="CA2" i="45" s="1"/>
  <c r="D461" i="37"/>
  <c r="CI2" i="45" s="1"/>
  <c r="D305" i="37"/>
  <c r="BG2" i="45" s="1"/>
  <c r="D378" i="37"/>
  <c r="BS2" i="45" s="1"/>
  <c r="D231" i="37"/>
  <c r="AS2" i="45" s="1"/>
  <c r="D279" i="37"/>
  <c r="BA2" i="45" s="1"/>
  <c r="D123" i="37"/>
  <c r="Y2" i="45" s="1"/>
  <c r="D192" i="37"/>
  <c r="AK2" i="45" s="1"/>
  <c r="D72" i="37"/>
  <c r="O2" i="45" s="1"/>
  <c r="D97" i="37"/>
  <c r="S2" i="45" s="1"/>
  <c r="D19" i="37"/>
  <c r="C2" i="45" s="1"/>
  <c r="F31" i="25"/>
  <c r="F21" i="25"/>
  <c r="J40" i="25" l="1"/>
  <c r="J41" i="25" s="1"/>
  <c r="J40" i="58"/>
  <c r="J41" i="58" s="1"/>
  <c r="J40" i="56"/>
  <c r="J41" i="56" s="1"/>
  <c r="J40" i="55"/>
  <c r="J41" i="55" s="1"/>
</calcChain>
</file>

<file path=xl/sharedStrings.xml><?xml version="1.0" encoding="utf-8"?>
<sst xmlns="http://schemas.openxmlformats.org/spreadsheetml/2006/main" count="4509" uniqueCount="684">
  <si>
    <t>points</t>
  </si>
  <si>
    <t>make up</t>
  </si>
  <si>
    <t>SL, RIFLE, RIFLE, MORTAR TEAM</t>
  </si>
  <si>
    <t>SL, MORTAR TEAM, MORTAR TEAM</t>
  </si>
  <si>
    <t>SL, RIFLE, RIFLE, MMG TEAM</t>
  </si>
  <si>
    <t>SL, RIFLE, RIFLE, HMG TEAM</t>
  </si>
  <si>
    <t>SL, MMG TEAM, MMG TEAM</t>
  </si>
  <si>
    <t>SL,MMG TEAM, HMG TEAM</t>
  </si>
  <si>
    <t>SL, HMG TEAM, HMG TEAM</t>
  </si>
  <si>
    <t>SL, FLAME TEAM, FLAME  TEAM</t>
  </si>
  <si>
    <t>total</t>
  </si>
  <si>
    <t>infantry</t>
  </si>
  <si>
    <t>attack</t>
  </si>
  <si>
    <t>mechanised</t>
  </si>
  <si>
    <t>SL</t>
  </si>
  <si>
    <t>Column1</t>
  </si>
  <si>
    <t>Column2</t>
  </si>
  <si>
    <t>armour</t>
  </si>
  <si>
    <t>defend</t>
  </si>
  <si>
    <t>neutral</t>
  </si>
  <si>
    <t>Column3</t>
  </si>
  <si>
    <t>SNIPER</t>
  </si>
  <si>
    <t>HMG, RIFLE</t>
  </si>
  <si>
    <t>MMG, RIFLE</t>
  </si>
  <si>
    <t>FLAME THROWER, RIFLE</t>
  </si>
  <si>
    <t>MORTAR, RIFLE</t>
  </si>
  <si>
    <t>MPAT, RIFLE</t>
  </si>
  <si>
    <t>engagement stance</t>
  </si>
  <si>
    <t>unit options</t>
  </si>
  <si>
    <t>poins remaining</t>
  </si>
  <si>
    <t>conscript</t>
  </si>
  <si>
    <t>trained</t>
  </si>
  <si>
    <t>experianced</t>
  </si>
  <si>
    <t>veteran</t>
  </si>
  <si>
    <t>rifle</t>
  </si>
  <si>
    <t>smg</t>
  </si>
  <si>
    <t>lmg</t>
  </si>
  <si>
    <t>sniper</t>
  </si>
  <si>
    <t>mmg</t>
  </si>
  <si>
    <t>hmg</t>
  </si>
  <si>
    <t>mortar</t>
  </si>
  <si>
    <t>sl</t>
  </si>
  <si>
    <t>munitions</t>
  </si>
  <si>
    <t>mpat</t>
  </si>
  <si>
    <t>flame thrower</t>
  </si>
  <si>
    <t>USA</t>
  </si>
  <si>
    <t>Germany</t>
  </si>
  <si>
    <t>Russia</t>
  </si>
  <si>
    <t>Finland</t>
  </si>
  <si>
    <t>asset</t>
  </si>
  <si>
    <t>vehicle</t>
  </si>
  <si>
    <t>Spotter</t>
  </si>
  <si>
    <t>Veterancy</t>
  </si>
  <si>
    <t>Veteran</t>
  </si>
  <si>
    <t>SL, RIFLE, RIFLE, FLAME THROWER TEAM</t>
  </si>
  <si>
    <t>life</t>
  </si>
  <si>
    <t>base</t>
  </si>
  <si>
    <t>critical</t>
  </si>
  <si>
    <t>cons</t>
  </si>
  <si>
    <t>tra</t>
  </si>
  <si>
    <t>exp</t>
  </si>
  <si>
    <t>vet</t>
  </si>
  <si>
    <t>individual unit base cost (rounded)</t>
  </si>
  <si>
    <t>SL, RIFLE, RIFLE, RIFLE, SNIPER</t>
  </si>
  <si>
    <t>SL, RIFLE, RIFLE, SNIPER, SNIPER</t>
  </si>
  <si>
    <t>Column5</t>
  </si>
  <si>
    <t>Column6</t>
  </si>
  <si>
    <t>SL, MPAT TEAM, MPAT TEAM</t>
  </si>
  <si>
    <t>SL, RIFLE, RIFLE, MPAT TEAM</t>
  </si>
  <si>
    <t>INFANTY SQUADS</t>
  </si>
  <si>
    <t>start here</t>
  </si>
  <si>
    <t>total points available</t>
  </si>
  <si>
    <t>usa</t>
  </si>
  <si>
    <t>finland</t>
  </si>
  <si>
    <t xml:space="preserve"> </t>
  </si>
  <si>
    <t>experienced</t>
  </si>
  <si>
    <t xml:space="preserve">standard squads </t>
  </si>
  <si>
    <t>AT gun Cost</t>
  </si>
  <si>
    <t>20mm</t>
  </si>
  <si>
    <t>20mm auto</t>
  </si>
  <si>
    <t>105mm</t>
  </si>
  <si>
    <t>88mm</t>
  </si>
  <si>
    <t>76mm</t>
  </si>
  <si>
    <t>50mm</t>
  </si>
  <si>
    <t>37mm</t>
  </si>
  <si>
    <t>Upgrades</t>
  </si>
  <si>
    <t>Infantry</t>
  </si>
  <si>
    <t>Japan</t>
  </si>
  <si>
    <t>Great_Britain</t>
  </si>
  <si>
    <t>commander</t>
  </si>
  <si>
    <t>&gt;squad 1</t>
  </si>
  <si>
    <t>&gt;squad 2</t>
  </si>
  <si>
    <t>&gt;squad 3</t>
  </si>
  <si>
    <t>&gt;squad 4</t>
  </si>
  <si>
    <t>&gt;squad 5</t>
  </si>
  <si>
    <t>&gt;squad 6</t>
  </si>
  <si>
    <t>&gt;squad 7</t>
  </si>
  <si>
    <t>Nations</t>
  </si>
  <si>
    <t>Battle_group</t>
  </si>
  <si>
    <t>JEEP</t>
  </si>
  <si>
    <t>TRUCK</t>
  </si>
  <si>
    <t>BREN GUN CARRIER</t>
  </si>
  <si>
    <t>ARMOURED CAR</t>
  </si>
  <si>
    <t>HALF TRACK</t>
  </si>
  <si>
    <t>name</t>
  </si>
  <si>
    <t>Tanks total</t>
  </si>
  <si>
    <t>Asset_Squad</t>
  </si>
  <si>
    <t>file name</t>
  </si>
  <si>
    <t>ENGAGEMENT STANCE</t>
  </si>
  <si>
    <t>FINAL POINTS LIMIT</t>
  </si>
  <si>
    <t>Sl total</t>
  </si>
  <si>
    <t>tank</t>
  </si>
  <si>
    <t>POINTS</t>
  </si>
  <si>
    <t>choose specialism</t>
  </si>
  <si>
    <t>CQB</t>
  </si>
  <si>
    <t>gunners</t>
  </si>
  <si>
    <t>Anti tank</t>
  </si>
  <si>
    <t>recon squad</t>
  </si>
  <si>
    <t>rifle squad</t>
  </si>
  <si>
    <t>assault squad</t>
  </si>
  <si>
    <t>gun squad</t>
  </si>
  <si>
    <t>Column7</t>
  </si>
  <si>
    <t>sniper total</t>
  </si>
  <si>
    <t>SL ability</t>
  </si>
  <si>
    <t>sniper shooting</t>
  </si>
  <si>
    <t>sniper ability</t>
  </si>
  <si>
    <t>mpat ability</t>
  </si>
  <si>
    <t>mpat total</t>
  </si>
  <si>
    <t>mortar total</t>
  </si>
  <si>
    <t>spotter ability</t>
  </si>
  <si>
    <t>spotter total</t>
  </si>
  <si>
    <t>jeep</t>
  </si>
  <si>
    <t>truck</t>
  </si>
  <si>
    <t>bren gun carrier</t>
  </si>
  <si>
    <t>armoured car</t>
  </si>
  <si>
    <t>half track</t>
  </si>
  <si>
    <t>BT-7</t>
  </si>
  <si>
    <t>SPOTTER</t>
  </si>
  <si>
    <t>mortar squad</t>
  </si>
  <si>
    <t>mortar x2 squad</t>
  </si>
  <si>
    <t>MPAT squad</t>
  </si>
  <si>
    <t>MPAT x2 squad</t>
  </si>
  <si>
    <t>MMG squad</t>
  </si>
  <si>
    <t>MMG x2 squad</t>
  </si>
  <si>
    <t>MMG, HMG squad</t>
  </si>
  <si>
    <t>HMG</t>
  </si>
  <si>
    <t>HMG x2 squad</t>
  </si>
  <si>
    <t>flame squad</t>
  </si>
  <si>
    <t>FLAME x2 squad</t>
  </si>
  <si>
    <t>marksman squad</t>
  </si>
  <si>
    <t>marksman x2 squad</t>
  </si>
  <si>
    <t>AP</t>
  </si>
  <si>
    <t>range</t>
  </si>
  <si>
    <t>HE</t>
  </si>
  <si>
    <t>A Front</t>
  </si>
  <si>
    <t>A Side</t>
  </si>
  <si>
    <t>A Rear</t>
  </si>
  <si>
    <t>movement</t>
  </si>
  <si>
    <t>MG</t>
  </si>
  <si>
    <t>crewed</t>
  </si>
  <si>
    <t>transport</t>
  </si>
  <si>
    <t>points range</t>
  </si>
  <si>
    <t>Chi-ha</t>
  </si>
  <si>
    <t>KV-1b</t>
  </si>
  <si>
    <t>germany</t>
  </si>
  <si>
    <t>russia</t>
  </si>
  <si>
    <t>japan</t>
  </si>
  <si>
    <t>u</t>
  </si>
  <si>
    <t>g</t>
  </si>
  <si>
    <t>f</t>
  </si>
  <si>
    <t>j</t>
  </si>
  <si>
    <t>gb</t>
  </si>
  <si>
    <t>all</t>
  </si>
  <si>
    <t>g,f</t>
  </si>
  <si>
    <t>u,gb</t>
  </si>
  <si>
    <t>trained base</t>
  </si>
  <si>
    <t>TANKS</t>
  </si>
  <si>
    <t>points calc</t>
  </si>
  <si>
    <t>army</t>
  </si>
  <si>
    <t>weight class</t>
  </si>
  <si>
    <t>lsv</t>
  </si>
  <si>
    <t>Crewed TANKS</t>
  </si>
  <si>
    <t>un crewed VEHICLES</t>
  </si>
  <si>
    <t>asset team</t>
  </si>
  <si>
    <t>uncrewed vehicles</t>
  </si>
  <si>
    <t>tank and vehicle calculator</t>
  </si>
  <si>
    <t>main gun</t>
  </si>
  <si>
    <t>Type-1 47mm</t>
  </si>
  <si>
    <t>45mm 20-K</t>
  </si>
  <si>
    <t>76mm M1A3</t>
  </si>
  <si>
    <t>Tank</t>
  </si>
  <si>
    <t>army2</t>
  </si>
  <si>
    <t>blue cells are dropdown choices</t>
  </si>
  <si>
    <t>orange cells are inputs</t>
  </si>
  <si>
    <t>red cells are disallowed</t>
  </si>
  <si>
    <t>0-250</t>
  </si>
  <si>
    <t>251-750</t>
  </si>
  <si>
    <t>751-1250</t>
  </si>
  <si>
    <t>1251-1750</t>
  </si>
  <si>
    <t>1751-2250</t>
  </si>
  <si>
    <t>2251-2750</t>
  </si>
  <si>
    <t>deployment</t>
  </si>
  <si>
    <t>map size</t>
  </si>
  <si>
    <t>player 1</t>
  </si>
  <si>
    <t>player 2</t>
  </si>
  <si>
    <t>corners</t>
  </si>
  <si>
    <t>long edges</t>
  </si>
  <si>
    <t>short edges</t>
  </si>
  <si>
    <t>engagement</t>
  </si>
  <si>
    <t>reserves</t>
  </si>
  <si>
    <t>corner v 2 edges</t>
  </si>
  <si>
    <t>center v short edge</t>
  </si>
  <si>
    <t>2x2</t>
  </si>
  <si>
    <t>3x3</t>
  </si>
  <si>
    <t>2x3</t>
  </si>
  <si>
    <t>4x4</t>
  </si>
  <si>
    <t>3x4</t>
  </si>
  <si>
    <t>4x5</t>
  </si>
  <si>
    <t>4x8</t>
  </si>
  <si>
    <t>4x7</t>
  </si>
  <si>
    <t>4x6</t>
  </si>
  <si>
    <t>center</t>
  </si>
  <si>
    <t>diagonal</t>
  </si>
  <si>
    <t>stagered</t>
  </si>
  <si>
    <t>straight</t>
  </si>
  <si>
    <t>map type</t>
  </si>
  <si>
    <t>urban</t>
  </si>
  <si>
    <t>country</t>
  </si>
  <si>
    <t>forest</t>
  </si>
  <si>
    <t>hills</t>
  </si>
  <si>
    <t>trenches</t>
  </si>
  <si>
    <t>objective style</t>
  </si>
  <si>
    <t>generate</t>
  </si>
  <si>
    <t>2751+</t>
  </si>
  <si>
    <t>objective count</t>
  </si>
  <si>
    <t>50/50</t>
  </si>
  <si>
    <t>engagment</t>
  </si>
  <si>
    <t>A n D</t>
  </si>
  <si>
    <t>parallel to deployment</t>
  </si>
  <si>
    <t>perpendicular to deployment</t>
  </si>
  <si>
    <t>Defences</t>
  </si>
  <si>
    <t>Quantity</t>
  </si>
  <si>
    <t>defences total</t>
  </si>
  <si>
    <t>tank traps (15 pts ea)</t>
  </si>
  <si>
    <t>barbed wire (10pts ea)</t>
  </si>
  <si>
    <t>sand bags (5 pts ea)</t>
  </si>
  <si>
    <t>mines (50 pts ea)</t>
  </si>
  <si>
    <t>MMG &amp; HMG have +1FE</t>
  </si>
  <si>
    <t>grenades never scatter, satchel skill check is always passed, 2 for 1 munitions</t>
  </si>
  <si>
    <t>any objective held yeilds double rewards</t>
  </si>
  <si>
    <t>specialism</t>
  </si>
  <si>
    <t>"+1 Apen, when targeting any vehicle"</t>
  </si>
  <si>
    <t>Scouts</t>
  </si>
  <si>
    <t>Sappers</t>
  </si>
  <si>
    <t>Objective holding</t>
  </si>
  <si>
    <t>Better army layout for divisions</t>
  </si>
  <si>
    <t>Compulsory vehiles for mechanized</t>
  </si>
  <si>
    <t>m10</t>
  </si>
  <si>
    <t>mmg team</t>
  </si>
  <si>
    <t>hmg team</t>
  </si>
  <si>
    <t>mpat team</t>
  </si>
  <si>
    <t>flame thrower team</t>
  </si>
  <si>
    <t>mortar team</t>
  </si>
  <si>
    <t>GREEN cells are compulsory</t>
  </si>
  <si>
    <t>automatic rifle</t>
  </si>
  <si>
    <t xml:space="preserve"> fire effectiveness</t>
  </si>
  <si>
    <t>hit and cover save probabilitiy</t>
  </si>
  <si>
    <t>can deploy anywhere on the table but no closer than 10" to any enemy, can raise flag for 1AP (paratrooper scouts get a free 5 inch move after deployment but before first turn)</t>
  </si>
  <si>
    <t>individual unit calcuated base cost</t>
  </si>
  <si>
    <t>special unit base cost + ability</t>
  </si>
  <si>
    <t>fixed turret</t>
  </si>
  <si>
    <t>fixed turrt</t>
  </si>
  <si>
    <t>open topped</t>
  </si>
  <si>
    <t>Valentine</t>
  </si>
  <si>
    <t>Valentine MK.IX</t>
  </si>
  <si>
    <t>BT-42 HOW</t>
  </si>
  <si>
    <t>Schwerer 234/1 AC</t>
  </si>
  <si>
    <t>Schwerer 234/2</t>
  </si>
  <si>
    <t>Schwerer 234/4</t>
  </si>
  <si>
    <t>Humber AC</t>
  </si>
  <si>
    <t>T17 Staghound MK.III</t>
  </si>
  <si>
    <t>M24 Chaffee</t>
  </si>
  <si>
    <t>M3 Stuart</t>
  </si>
  <si>
    <t>M18 Hellcat</t>
  </si>
  <si>
    <t>Achilles</t>
  </si>
  <si>
    <t>StuG III F</t>
  </si>
  <si>
    <t>Matilda III</t>
  </si>
  <si>
    <t>m36 Jackson</t>
  </si>
  <si>
    <t>Cromwell</t>
  </si>
  <si>
    <t>M4A2 Sherman</t>
  </si>
  <si>
    <t>T34-85</t>
  </si>
  <si>
    <t>Panzer IV F2</t>
  </si>
  <si>
    <t>T34</t>
  </si>
  <si>
    <t>Sherman Jumbo</t>
  </si>
  <si>
    <t>M4 Firefly</t>
  </si>
  <si>
    <t>Tiger</t>
  </si>
  <si>
    <t>Panther</t>
  </si>
  <si>
    <t>Churchill</t>
  </si>
  <si>
    <t>M26 Pershing</t>
  </si>
  <si>
    <t>Jagdpanther</t>
  </si>
  <si>
    <t>King Tiger</t>
  </si>
  <si>
    <t>IS-2</t>
  </si>
  <si>
    <r>
      <t xml:space="preserve">Schwerer 234/3 </t>
    </r>
    <r>
      <rPr>
        <i/>
        <sz val="11"/>
        <color theme="1"/>
        <rFont val="Calibri"/>
        <family val="2"/>
        <scheme val="minor"/>
      </rPr>
      <t>HOW</t>
    </r>
  </si>
  <si>
    <t>40mm 2 Pdr</t>
  </si>
  <si>
    <t>57mm 6 Pdr</t>
  </si>
  <si>
    <t>114mm Howitzer</t>
  </si>
  <si>
    <t>FLAK30 20mm auto</t>
  </si>
  <si>
    <t>50mm KwK.39/1</t>
  </si>
  <si>
    <t>75mm K51</t>
  </si>
  <si>
    <t>75mm Pak40</t>
  </si>
  <si>
    <t xml:space="preserve"> 20 mm Oerlikon auto</t>
  </si>
  <si>
    <t>76mm m7</t>
  </si>
  <si>
    <t>75mm M4</t>
  </si>
  <si>
    <t>37mm M6</t>
  </si>
  <si>
    <t xml:space="preserve">76mm 17 Pdr </t>
  </si>
  <si>
    <t>75mm KwK40</t>
  </si>
  <si>
    <t>90mm m3</t>
  </si>
  <si>
    <t>85mm D-5T</t>
  </si>
  <si>
    <t>76mm F-34</t>
  </si>
  <si>
    <t>76mm M1A2</t>
  </si>
  <si>
    <t>88mm KwK36</t>
  </si>
  <si>
    <t>75mm KwK42</t>
  </si>
  <si>
    <t>90mm M4</t>
  </si>
  <si>
    <t>88mm PAK43</t>
  </si>
  <si>
    <t>88mm KwK43</t>
  </si>
  <si>
    <t>122mm D-25T</t>
  </si>
  <si>
    <t>r,f</t>
  </si>
  <si>
    <t>US</t>
  </si>
  <si>
    <t>GB</t>
  </si>
  <si>
    <t>L</t>
  </si>
  <si>
    <t>M</t>
  </si>
  <si>
    <t>H</t>
  </si>
  <si>
    <t>VH</t>
  </si>
  <si>
    <t>Panzer III J</t>
  </si>
  <si>
    <t>G,F</t>
  </si>
  <si>
    <t>Column12</t>
  </si>
  <si>
    <t>gun</t>
  </si>
  <si>
    <t>AUTO</t>
  </si>
  <si>
    <t>weight</t>
  </si>
  <si>
    <t>calc</t>
  </si>
  <si>
    <t>Nation</t>
  </si>
  <si>
    <t>37mm pak 36</t>
  </si>
  <si>
    <t>G</t>
  </si>
  <si>
    <t>50mm pak 38</t>
  </si>
  <si>
    <t>75mm pak 40</t>
  </si>
  <si>
    <t>88mm pak 43</t>
  </si>
  <si>
    <t>20mm flak 30/38</t>
  </si>
  <si>
    <t>37mm M3</t>
  </si>
  <si>
    <t>57mm M1</t>
  </si>
  <si>
    <t>76mm M5/M7</t>
  </si>
  <si>
    <t>37mm M1930 1-k</t>
  </si>
  <si>
    <t>45mm M1932</t>
  </si>
  <si>
    <t>57mm ZiS-2</t>
  </si>
  <si>
    <t>85mm D-44</t>
  </si>
  <si>
    <t>100mm BS-3</t>
  </si>
  <si>
    <t>RUS</t>
  </si>
  <si>
    <t>37mm type 94</t>
  </si>
  <si>
    <t>75mm type 88</t>
  </si>
  <si>
    <t>J</t>
  </si>
  <si>
    <t>37mm bofors</t>
  </si>
  <si>
    <t>45mm m1932</t>
  </si>
  <si>
    <t>20mm type 2</t>
  </si>
  <si>
    <t>20mm Oerlikon</t>
  </si>
  <si>
    <t>20mm hispano</t>
  </si>
  <si>
    <t>F</t>
  </si>
  <si>
    <t>feildgun_squad</t>
  </si>
  <si>
    <t>field guns</t>
  </si>
  <si>
    <t>asset squads</t>
  </si>
  <si>
    <t>standard_squad</t>
  </si>
  <si>
    <t>nation</t>
  </si>
  <si>
    <t>division</t>
  </si>
  <si>
    <t>squadtype</t>
  </si>
  <si>
    <t>unitname</t>
  </si>
  <si>
    <t>Airbourne</t>
  </si>
  <si>
    <t>tanks</t>
  </si>
  <si>
    <t>gun, SL, Rifle, rifle, rifle, jeep</t>
  </si>
  <si>
    <t>gun, SL, Rifle, rifle, rifle, rifle, jeep</t>
  </si>
  <si>
    <t>feild gun assets</t>
  </si>
  <si>
    <t>field gun squads</t>
  </si>
  <si>
    <t>SL, LMG, SMG, SMG, RIFLE, RIFLE, RIFLE, RIFLE</t>
  </si>
  <si>
    <t>SL, SMG, SMG, SMG, SMG</t>
  </si>
  <si>
    <t>SL, LMG, LMG, RIFLE, RIFLE, RIFLE, RIFLE</t>
  </si>
  <si>
    <t>SL, LMG , RIFLE</t>
  </si>
  <si>
    <t>76.2mm Zis-3</t>
  </si>
  <si>
    <t>25mm m1940 72-k</t>
  </si>
  <si>
    <t>your name</t>
  </si>
  <si>
    <t>points change based on new fire effectiveness</t>
  </si>
  <si>
    <t>AT guns renamed to feild guns</t>
  </si>
  <si>
    <t>feild Guns as an asset squad or asset</t>
  </si>
  <si>
    <t>nation specific field guns</t>
  </si>
  <si>
    <t>army name</t>
  </si>
  <si>
    <t>division name / key words</t>
  </si>
  <si>
    <t>usaInfantrystandard_squad</t>
  </si>
  <si>
    <t>usaInfantryAsset_Squad</t>
  </si>
  <si>
    <t>usaInfantryfeildgun_squad</t>
  </si>
  <si>
    <t>usaInfantryvehicle</t>
  </si>
  <si>
    <t>usamechanisedstandard_squad</t>
  </si>
  <si>
    <t>usamechanisedAsset_Squad</t>
  </si>
  <si>
    <t>usamechanisedfeildgun_squad</t>
  </si>
  <si>
    <t>usamechanisedvehicle</t>
  </si>
  <si>
    <t>usamechanisedtanks</t>
  </si>
  <si>
    <t>usaAirbournestandard_squad</t>
  </si>
  <si>
    <t>usaAirbourneAsset_Squad</t>
  </si>
  <si>
    <t>usaBattle_groupstandard_squad</t>
  </si>
  <si>
    <t>usaBattle_groupAsset_Squad</t>
  </si>
  <si>
    <t>usaBattle_groupfeildgun_squad</t>
  </si>
  <si>
    <t>usaBattle_groupvehicle</t>
  </si>
  <si>
    <t>usaBattle_grouptanks</t>
  </si>
  <si>
    <t>usaarmourcommander</t>
  </si>
  <si>
    <t>usaarmourtanks</t>
  </si>
  <si>
    <t>germanyInfantrystandard_squad</t>
  </si>
  <si>
    <t>germanyInfantryAsset_Squad</t>
  </si>
  <si>
    <t>germanyInfantryfeildgun_squad</t>
  </si>
  <si>
    <t>germanyInfantryvehicle</t>
  </si>
  <si>
    <t>germanymechanisedstandard_squad</t>
  </si>
  <si>
    <t>germanymechanisedAsset_Squad</t>
  </si>
  <si>
    <t>germanymechanisedfeildgun_squad</t>
  </si>
  <si>
    <t>germanymechanisedvehicle</t>
  </si>
  <si>
    <t>germanymechanisedtanks</t>
  </si>
  <si>
    <t>germanyAirbournestandard_squad</t>
  </si>
  <si>
    <t>germanyAirbourneAsset_Squad</t>
  </si>
  <si>
    <t>germanyBattle_groupstandard_squad</t>
  </si>
  <si>
    <t>germanyBattle_groupAsset_Squad</t>
  </si>
  <si>
    <t>germanyBattle_groupfeildgun_squad</t>
  </si>
  <si>
    <t>germanyBattle_groupvehicle</t>
  </si>
  <si>
    <t>germanyBattle_grouptanks</t>
  </si>
  <si>
    <t>germanyarmourcommander</t>
  </si>
  <si>
    <t>germanyarmourtanks</t>
  </si>
  <si>
    <t>Great_BritainInfantrystandard_squad</t>
  </si>
  <si>
    <t>Great_BritainInfantryAsset_Squad</t>
  </si>
  <si>
    <t>Great_BritainInfantryfeildgun_squad</t>
  </si>
  <si>
    <t>Great_BritainInfantryvehicle</t>
  </si>
  <si>
    <t>Great_Britainmechanisedstandard_squad</t>
  </si>
  <si>
    <t>Great_BritainmechanisedAsset_Squad</t>
  </si>
  <si>
    <t>Great_Britainmechanisedfeildgun_squad</t>
  </si>
  <si>
    <t>Great_Britainmechanisedvehicle</t>
  </si>
  <si>
    <t>Great_Britainmechanisedtanks</t>
  </si>
  <si>
    <t>Great_BritainAirbournestandard_squad</t>
  </si>
  <si>
    <t>Great_BritainAirbourneAsset_Squad</t>
  </si>
  <si>
    <t>Great_BritainBattle_groupstandard_squad</t>
  </si>
  <si>
    <t>Great_BritainBattle_groupAsset_Squad</t>
  </si>
  <si>
    <t>Great_BritainBattle_groupfeildgun_squad</t>
  </si>
  <si>
    <t>Great_BritainBattle_groupvehicle</t>
  </si>
  <si>
    <t>Great_BritainBattle_grouptanks</t>
  </si>
  <si>
    <t>Great_Britainarmourcommander</t>
  </si>
  <si>
    <t>Great_Britainarmourtanks</t>
  </si>
  <si>
    <t>finlandInfantrystandard_squad</t>
  </si>
  <si>
    <t>finlandInfantryAsset_Squad</t>
  </si>
  <si>
    <t>finlandInfantryfeildgun_squad</t>
  </si>
  <si>
    <t>finlandInfantryvehicle</t>
  </si>
  <si>
    <t>finlandmechanisedstandard_squad</t>
  </si>
  <si>
    <t>finlandmechanisedAsset_Squad</t>
  </si>
  <si>
    <t>finlandmechanisedfeildgun_squad</t>
  </si>
  <si>
    <t>finlandmechanisedvehicle</t>
  </si>
  <si>
    <t>finlandmechanisedtanks</t>
  </si>
  <si>
    <t>finlandAirbournestandard_squad</t>
  </si>
  <si>
    <t>finlandAirbourneAsset_Squad</t>
  </si>
  <si>
    <t>finlandBattle_groupstandard_squad</t>
  </si>
  <si>
    <t>finlandBattle_groupAsset_Squad</t>
  </si>
  <si>
    <t>finlandBattle_groupfeildgun_squad</t>
  </si>
  <si>
    <t>finlandBattle_groupvehicle</t>
  </si>
  <si>
    <t>finlandBattle_grouptanks</t>
  </si>
  <si>
    <t>finlandarmourcommander</t>
  </si>
  <si>
    <t>finlandarmourtanks</t>
  </si>
  <si>
    <t>russiaInfantrystandard_squad</t>
  </si>
  <si>
    <t>russiaInfantryAsset_Squad</t>
  </si>
  <si>
    <t>russiaInfantryfeildgun_squad</t>
  </si>
  <si>
    <t>russiaInfantryvehicle</t>
  </si>
  <si>
    <t>russiamechanisedstandard_squad</t>
  </si>
  <si>
    <t>russiamechanisedAsset_Squad</t>
  </si>
  <si>
    <t>russiamechanisedfeildgun_squad</t>
  </si>
  <si>
    <t>russiamechanisedvehicle</t>
  </si>
  <si>
    <t>russiamechanisedtanks</t>
  </si>
  <si>
    <t>russiaAirbournestandard_squad</t>
  </si>
  <si>
    <t>russiaAirbourneAsset_Squad</t>
  </si>
  <si>
    <t>russiaBattle_groupstandard_squad</t>
  </si>
  <si>
    <t>russiaBattle_groupAsset_Squad</t>
  </si>
  <si>
    <t>russiaBattle_groupfeildgun_squad</t>
  </si>
  <si>
    <t>russiaBattle_groupvehicle</t>
  </si>
  <si>
    <t>russiaBattle_grouptanks</t>
  </si>
  <si>
    <t>russiaarmourcommander</t>
  </si>
  <si>
    <t>russiaarmourtanks</t>
  </si>
  <si>
    <t>japanInfantrystandard_squad</t>
  </si>
  <si>
    <t>japanInfantryAsset_Squad</t>
  </si>
  <si>
    <t>japanInfantryfeildgun_squad</t>
  </si>
  <si>
    <t>japanInfantryvehicle</t>
  </si>
  <si>
    <t>japanmechanisedstandard_squad</t>
  </si>
  <si>
    <t>japanmechanisedAsset_Squad</t>
  </si>
  <si>
    <t>japanmechanisedfeildgun_squad</t>
  </si>
  <si>
    <t>japanmechanisedvehicle</t>
  </si>
  <si>
    <t>japanmechanisedtanks</t>
  </si>
  <si>
    <t>japanAirbournestandard_squad</t>
  </si>
  <si>
    <t>japanAirbourneAsset_Squad</t>
  </si>
  <si>
    <t>japanBattle_groupstandard_squad</t>
  </si>
  <si>
    <t>japanBattle_groupAsset_Squad</t>
  </si>
  <si>
    <t>japanBattle_groupfeildgun_squad</t>
  </si>
  <si>
    <t>japanBattle_groupvehicle</t>
  </si>
  <si>
    <t>japanBattle_grouptanks</t>
  </si>
  <si>
    <t>japanarmourcommander</t>
  </si>
  <si>
    <t>japanarmourtanks</t>
  </si>
  <si>
    <t>squad types</t>
  </si>
  <si>
    <t>veterancy</t>
  </si>
  <si>
    <t>field gun only</t>
  </si>
  <si>
    <t>asset types</t>
  </si>
  <si>
    <t>asset_team</t>
  </si>
  <si>
    <t>usaInfantryasset_team</t>
  </si>
  <si>
    <t>usamechanisedasset_team</t>
  </si>
  <si>
    <t>usaAirbourneasset_team</t>
  </si>
  <si>
    <t>usaBattle_groupasset_team</t>
  </si>
  <si>
    <t>germanyInfantryasset_team</t>
  </si>
  <si>
    <t>germanymechanisedasset_team</t>
  </si>
  <si>
    <t>germanyAirbourneasset_team</t>
  </si>
  <si>
    <t>germanyBattle_groupasset_team</t>
  </si>
  <si>
    <t>Great_BritainInfantryasset_team</t>
  </si>
  <si>
    <t>Great_Britainmechanisedasset_team</t>
  </si>
  <si>
    <t>Great_BritainAirbourneasset_team</t>
  </si>
  <si>
    <t>Great_BritainBattle_groupasset_team</t>
  </si>
  <si>
    <t>finlandInfantryasset_team</t>
  </si>
  <si>
    <t>finlandmechanisedasset_team</t>
  </si>
  <si>
    <t>finlandAirbourneasset_team</t>
  </si>
  <si>
    <t>finlandBattle_groupasset_team</t>
  </si>
  <si>
    <t>russiaInfantryasset_team</t>
  </si>
  <si>
    <t>russiamechanisedasset_team</t>
  </si>
  <si>
    <t>russiaAirbourneasset_team</t>
  </si>
  <si>
    <t>russiaBattle_groupasset_team</t>
  </si>
  <si>
    <t>japanInfantryasset_team</t>
  </si>
  <si>
    <t>japanmechanisedasset_team</t>
  </si>
  <si>
    <t>japanAirbourneasset_team</t>
  </si>
  <si>
    <t>japanBattle_groupasset_team</t>
  </si>
  <si>
    <t>requested</t>
  </si>
  <si>
    <t>actioned</t>
  </si>
  <si>
    <t>app version</t>
  </si>
  <si>
    <t>rules version</t>
  </si>
  <si>
    <t>comet</t>
  </si>
  <si>
    <t>77mm</t>
  </si>
  <si>
    <t>Upgrade</t>
  </si>
  <si>
    <t>weapon ragne adjustment</t>
  </si>
  <si>
    <t>special ability</t>
  </si>
  <si>
    <t>Column4</t>
  </si>
  <si>
    <t>built SF squads</t>
  </si>
  <si>
    <t>SF1</t>
  </si>
  <si>
    <t>SF2</t>
  </si>
  <si>
    <t>SF3</t>
  </si>
  <si>
    <t>weapon</t>
  </si>
  <si>
    <t>man</t>
  </si>
  <si>
    <t>points adjustment based on weapon ranges, 24"=0 under 24=-, over 24=+ (.5pts/inch)</t>
  </si>
  <si>
    <t>all models get +1 dice in HTH combat, smgs always score crits with an effective hit when target under 5" range</t>
  </si>
  <si>
    <t>&gt;BGC</t>
  </si>
  <si>
    <t>feild_gun</t>
  </si>
  <si>
    <t>usaInfantryfeild_gun</t>
  </si>
  <si>
    <t>usamechanisedfeild_gun</t>
  </si>
  <si>
    <t>usaBattle_groupfeild_gun</t>
  </si>
  <si>
    <t>germanyInfantryfeild_gun</t>
  </si>
  <si>
    <t>germanymechanisedfeild_gun</t>
  </si>
  <si>
    <t>germanyBattle_groupfeild_gun</t>
  </si>
  <si>
    <t>Great_BritainInfantryfeild_gun</t>
  </si>
  <si>
    <t>Great_Britainmechanisedfeild_gun</t>
  </si>
  <si>
    <t>Great_BritainBattle_groupfeild_gun</t>
  </si>
  <si>
    <t>finlandInfantryfeild_gun</t>
  </si>
  <si>
    <t>finlandmechanisedfeild_gun</t>
  </si>
  <si>
    <t>finlandBattle_groupfeild_gun</t>
  </si>
  <si>
    <t>russiaInfantryfeild_gun</t>
  </si>
  <si>
    <t>russiamechanisedfeild_gun</t>
  </si>
  <si>
    <t>russiaBattle_groupfeild_gun</t>
  </si>
  <si>
    <t>japanInfantryfeild_gun</t>
  </si>
  <si>
    <t>japanmechanisedfeild_gun</t>
  </si>
  <si>
    <t>japanBattle_groupfeild_gun</t>
  </si>
  <si>
    <t>choose veterancy &gt;</t>
  </si>
  <si>
    <t xml:space="preserve"> choose munitions &gt;</t>
  </si>
  <si>
    <t>compulsory &gt;</t>
  </si>
  <si>
    <t>choose units &gt;</t>
  </si>
  <si>
    <t>ASSETS &gt;</t>
  </si>
  <si>
    <t>fix incorrect point calcs</t>
  </si>
  <si>
    <t>tank stats changed to reflect more real world values</t>
  </si>
  <si>
    <t>tank points calc formula changed to account for usefulness of armour values</t>
  </si>
  <si>
    <t>Commander</t>
  </si>
  <si>
    <t>special_forces_1</t>
  </si>
  <si>
    <t>special_forces_2</t>
  </si>
  <si>
    <t>special_forces_3</t>
  </si>
  <si>
    <t>usaInfantryspecial_forces_1</t>
  </si>
  <si>
    <t>usaInfantryspecial_forces_2</t>
  </si>
  <si>
    <t>usamechanisedspecial_forces_1</t>
  </si>
  <si>
    <t>usaAirbournespecial_forces_1</t>
  </si>
  <si>
    <t>usaAirbournespecial_forces_2</t>
  </si>
  <si>
    <t>usaAirbournespecial_forces_3</t>
  </si>
  <si>
    <t>usaBattle_groupspecial_forces_1</t>
  </si>
  <si>
    <t>usaBattle_groupspecial_forces_2</t>
  </si>
  <si>
    <t>usaBattle_groupspecial_forces_3</t>
  </si>
  <si>
    <t>germanyInfantryspecial_forces_1</t>
  </si>
  <si>
    <t>germanyInfantryspecial_forces_2</t>
  </si>
  <si>
    <t>germanymechanisedspecial_forces_1</t>
  </si>
  <si>
    <t>germanyAirbournespecial_forces_1</t>
  </si>
  <si>
    <t>germanyAirbournespecial_forces_2</t>
  </si>
  <si>
    <t>germanyAirbournespecial_forces_3</t>
  </si>
  <si>
    <t>germanyBattle_groupspecial_forces_1</t>
  </si>
  <si>
    <t>germanyBattle_groupspecial_forces_2</t>
  </si>
  <si>
    <t>germanyBattle_groupspecial_forces_3</t>
  </si>
  <si>
    <t>Great_BritainInfantryspecial_forces_1</t>
  </si>
  <si>
    <t>Great_BritainInfantryspecial_forces_2</t>
  </si>
  <si>
    <t>Great_Britainmechanisedspecial_forces_1</t>
  </si>
  <si>
    <t>Great_BritainAirbournespecial_forces_1</t>
  </si>
  <si>
    <t>Great_BritainAirbournespecial_forces_2</t>
  </si>
  <si>
    <t>Great_BritainAirbournespecial_forces_3</t>
  </si>
  <si>
    <t>Great_BritainBattle_groupspecial_forces_1</t>
  </si>
  <si>
    <t>Great_BritainBattle_groupspecial_forces_2</t>
  </si>
  <si>
    <t>Great_BritainBattle_groupspecial_forces_3</t>
  </si>
  <si>
    <t>finlandInfantryspecial_forces_1</t>
  </si>
  <si>
    <t>finlandInfantryspecial_forces_2</t>
  </si>
  <si>
    <t>finlandmechanisedspecial_forces_1</t>
  </si>
  <si>
    <t>finlandAirbournespecial_forces_1</t>
  </si>
  <si>
    <t>finlandAirbournespecial_forces_2</t>
  </si>
  <si>
    <t>finlandAirbournespecial_forces_3</t>
  </si>
  <si>
    <t>finlandBattle_groupspecial_forces_1</t>
  </si>
  <si>
    <t>finlandBattle_groupspecial_forces_2</t>
  </si>
  <si>
    <t>finlandBattle_groupspecial_forces_3</t>
  </si>
  <si>
    <t>russiaInfantryspecial_forces_1</t>
  </si>
  <si>
    <t>russiaInfantryspecial_forces_2</t>
  </si>
  <si>
    <t>russiamechanisedspecial_forces_1</t>
  </si>
  <si>
    <t>russiaAirbournespecial_forces_1</t>
  </si>
  <si>
    <t>russiaAirbournespecial_forces_2</t>
  </si>
  <si>
    <t>russiaAirbournespecial_forces_3</t>
  </si>
  <si>
    <t>russiaBattle_groupspecial_forces_1</t>
  </si>
  <si>
    <t>russiaBattle_groupspecial_forces_2</t>
  </si>
  <si>
    <t>russiaBattle_groupspecial_forces_3</t>
  </si>
  <si>
    <t>japanInfantryspecial_forces_1</t>
  </si>
  <si>
    <t>japanInfantryspecial_forces_2</t>
  </si>
  <si>
    <t>japanmechanisedspecial_forces_1</t>
  </si>
  <si>
    <t>japanAirbournespecial_forces_1</t>
  </si>
  <si>
    <t>japanAirbournespecial_forces_2</t>
  </si>
  <si>
    <t>japanAirbournespecial_forces_3</t>
  </si>
  <si>
    <t>japanBattle_groupspecial_forces_1</t>
  </si>
  <si>
    <t>japanBattle_groupspecial_forces_2</t>
  </si>
  <si>
    <t>japanBattle_groupspecial_forces_3</t>
  </si>
  <si>
    <t>7.1.0</t>
  </si>
  <si>
    <t>("battle group" only used for testing not game play)</t>
  </si>
  <si>
    <t>Armour</t>
  </si>
  <si>
    <t>QF 2-pounder</t>
  </si>
  <si>
    <t>QF 6 pounder</t>
  </si>
  <si>
    <t>QF 17 pounder</t>
  </si>
  <si>
    <t>Front</t>
  </si>
  <si>
    <t>Side</t>
  </si>
  <si>
    <t>Rear</t>
  </si>
  <si>
    <t>A PEN</t>
  </si>
  <si>
    <t>Range</t>
  </si>
  <si>
    <t>Movement</t>
  </si>
  <si>
    <t>F.E</t>
  </si>
  <si>
    <t>Main gun</t>
  </si>
  <si>
    <t>machine gun</t>
  </si>
  <si>
    <t>Cover</t>
  </si>
  <si>
    <t>optimal manning</t>
  </si>
  <si>
    <t>Light</t>
  </si>
  <si>
    <t>Heavy</t>
  </si>
  <si>
    <t>24"</t>
  </si>
  <si>
    <t>28"</t>
  </si>
  <si>
    <t>30"</t>
  </si>
  <si>
    <t>32"</t>
  </si>
  <si>
    <t>light</t>
  </si>
  <si>
    <t>cover</t>
  </si>
  <si>
    <t>minimum manning</t>
  </si>
  <si>
    <t>FE min</t>
  </si>
  <si>
    <t>FE opt</t>
  </si>
  <si>
    <t>heavy</t>
  </si>
  <si>
    <t>normal</t>
  </si>
  <si>
    <t>movment</t>
  </si>
  <si>
    <t>1 shot max</t>
  </si>
  <si>
    <t>1 shot amx</t>
  </si>
  <si>
    <t>1/ap</t>
  </si>
  <si>
    <t>1ap 5"</t>
  </si>
  <si>
    <t>2ap 5"</t>
  </si>
  <si>
    <t>Auto</t>
  </si>
  <si>
    <t>2 Men</t>
  </si>
  <si>
    <t>1 shot / AP</t>
  </si>
  <si>
    <t>Events:</t>
  </si>
  <si>
    <t>ON</t>
  </si>
  <si>
    <t>mechanised BGC</t>
  </si>
  <si>
    <t>airbourne</t>
  </si>
  <si>
    <t>divisions</t>
  </si>
  <si>
    <t>battle_group</t>
  </si>
  <si>
    <t>version 7.1.0 compatable up to 7.1.9</t>
  </si>
  <si>
    <t>start here and work down</t>
  </si>
  <si>
    <t>special forces 1</t>
  </si>
  <si>
    <t>special forces 2</t>
  </si>
  <si>
    <t>special forces 3</t>
  </si>
  <si>
    <t>Squad Leader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</si>
</sst>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5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4.5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DB22B"/>
        <bgColor indexed="64"/>
      </patternFill>
    </fill>
  </fills>
  <borders count="5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0">
    <xf numFmtId="0" fontId="0" fillId="0" borderId="0" xfId="0"/>
    <xf numFmtId="0" fontId="2" fillId="0" borderId="0" xfId="0" applyFont="1"/>
    <xf numFmtId="0" fontId="3" fillId="0" borderId="0" xfId="0" applyFont="1" applyFill="1" applyBorder="1" applyAlignment="1">
      <alignment horizontal="center" vertical="center"/>
    </xf>
    <xf numFmtId="0" fontId="0" fillId="2" borderId="1" xfId="0" applyFont="1" applyFill="1" applyBorder="1"/>
    <xf numFmtId="0" fontId="0" fillId="2" borderId="2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2" borderId="1" xfId="0" applyFont="1" applyFill="1" applyBorder="1" applyAlignment="1">
      <alignment horizontal="center"/>
    </xf>
    <xf numFmtId="0" fontId="0" fillId="0" borderId="3" xfId="0" applyBorder="1"/>
    <xf numFmtId="0" fontId="0" fillId="2" borderId="5" xfId="0" applyFont="1" applyFill="1" applyBorder="1"/>
    <xf numFmtId="0" fontId="1" fillId="2" borderId="5" xfId="0" applyFont="1" applyFill="1" applyBorder="1" applyAlignment="1">
      <alignment vertical="center" wrapText="1"/>
    </xf>
    <xf numFmtId="0" fontId="0" fillId="2" borderId="5" xfId="0" applyFont="1" applyFill="1" applyBorder="1" applyAlignment="1">
      <alignment vertical="center" wrapText="1"/>
    </xf>
    <xf numFmtId="0" fontId="0" fillId="2" borderId="4" xfId="0" applyFont="1" applyFill="1" applyBorder="1"/>
    <xf numFmtId="0" fontId="0" fillId="0" borderId="0" xfId="0" applyBorder="1"/>
    <xf numFmtId="0" fontId="0" fillId="0" borderId="9" xfId="0" applyBorder="1"/>
    <xf numFmtId="0" fontId="0" fillId="0" borderId="0" xfId="0" applyFont="1" applyAlignment="1"/>
    <xf numFmtId="1" fontId="0" fillId="0" borderId="0" xfId="0" applyNumberFormat="1" applyFont="1" applyAlignment="1"/>
    <xf numFmtId="1" fontId="0" fillId="0" borderId="0" xfId="0" applyNumberFormat="1"/>
    <xf numFmtId="0" fontId="2" fillId="0" borderId="0" xfId="0" applyFont="1" applyBorder="1"/>
    <xf numFmtId="0" fontId="2" fillId="0" borderId="0" xfId="0" applyFont="1" applyAlignment="1"/>
    <xf numFmtId="0" fontId="4" fillId="0" borderId="0" xfId="0" applyFont="1" applyAlignment="1"/>
    <xf numFmtId="0" fontId="0" fillId="2" borderId="1" xfId="0" applyFont="1" applyFill="1" applyBorder="1" applyAlignment="1"/>
    <xf numFmtId="0" fontId="0" fillId="2" borderId="5" xfId="0" applyFont="1" applyFill="1" applyBorder="1" applyAlignment="1"/>
    <xf numFmtId="0" fontId="0" fillId="2" borderId="2" xfId="0" applyFont="1" applyFill="1" applyBorder="1" applyAlignment="1"/>
    <xf numFmtId="0" fontId="0" fillId="0" borderId="2" xfId="0" applyFont="1" applyBorder="1" applyAlignment="1"/>
    <xf numFmtId="1" fontId="0" fillId="2" borderId="5" xfId="0" applyNumberFormat="1" applyFont="1" applyFill="1" applyBorder="1" applyAlignment="1"/>
    <xf numFmtId="0" fontId="0" fillId="2" borderId="0" xfId="0" applyFont="1" applyFill="1" applyBorder="1" applyAlignment="1"/>
    <xf numFmtId="1" fontId="0" fillId="2" borderId="0" xfId="0" applyNumberFormat="1" applyFont="1" applyFill="1" applyBorder="1" applyAlignment="1"/>
    <xf numFmtId="0" fontId="0" fillId="2" borderId="10" xfId="0" applyFont="1" applyFill="1" applyBorder="1" applyAlignment="1"/>
    <xf numFmtId="0" fontId="0" fillId="2" borderId="6" xfId="0" applyFont="1" applyFill="1" applyBorder="1" applyAlignment="1"/>
    <xf numFmtId="1" fontId="0" fillId="2" borderId="6" xfId="0" applyNumberFormat="1" applyFont="1" applyFill="1" applyBorder="1" applyAlignment="1"/>
    <xf numFmtId="0" fontId="1" fillId="2" borderId="0" xfId="0" applyFont="1" applyFill="1" applyBorder="1" applyAlignment="1">
      <alignment vertical="center" wrapText="1"/>
    </xf>
    <xf numFmtId="0" fontId="0" fillId="2" borderId="10" xfId="0" applyFont="1" applyFill="1" applyBorder="1"/>
    <xf numFmtId="0" fontId="0" fillId="0" borderId="0" xfId="0" applyFont="1" applyBorder="1" applyAlignment="1"/>
    <xf numFmtId="0" fontId="0" fillId="2" borderId="10" xfId="0" applyNumberFormat="1" applyFont="1" applyFill="1" applyBorder="1" applyAlignment="1">
      <alignment horizontal="center"/>
    </xf>
    <xf numFmtId="16" fontId="3" fillId="0" borderId="5" xfId="0" applyNumberFormat="1" applyFont="1" applyBorder="1" applyAlignment="1">
      <alignment horizontal="center" vertical="center"/>
    </xf>
    <xf numFmtId="16" fontId="3" fillId="2" borderId="5" xfId="0" applyNumberFormat="1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/>
    </xf>
    <xf numFmtId="16" fontId="0" fillId="0" borderId="5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16" fontId="0" fillId="2" borderId="5" xfId="0" applyNumberFormat="1" applyFont="1" applyFill="1" applyBorder="1" applyAlignment="1">
      <alignment horizontal="center"/>
    </xf>
    <xf numFmtId="0" fontId="2" fillId="0" borderId="11" xfId="0" applyFont="1" applyBorder="1" applyAlignment="1"/>
    <xf numFmtId="0" fontId="0" fillId="0" borderId="12" xfId="0" applyFont="1" applyBorder="1" applyAlignment="1"/>
    <xf numFmtId="0" fontId="0" fillId="0" borderId="13" xfId="0" applyFont="1" applyBorder="1" applyAlignment="1"/>
    <xf numFmtId="0" fontId="0" fillId="0" borderId="15" xfId="0" applyFont="1" applyBorder="1" applyAlignment="1"/>
    <xf numFmtId="1" fontId="0" fillId="0" borderId="0" xfId="0" applyNumberFormat="1" applyFont="1" applyBorder="1" applyAlignment="1"/>
    <xf numFmtId="1" fontId="0" fillId="0" borderId="15" xfId="0" applyNumberFormat="1" applyFont="1" applyBorder="1" applyAlignment="1"/>
    <xf numFmtId="1" fontId="0" fillId="0" borderId="17" xfId="0" applyNumberFormat="1" applyFont="1" applyBorder="1" applyAlignment="1"/>
    <xf numFmtId="0" fontId="0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2" fillId="2" borderId="0" xfId="0" applyFont="1" applyFill="1" applyBorder="1" applyAlignment="1"/>
    <xf numFmtId="0" fontId="0" fillId="0" borderId="1" xfId="0" applyFont="1" applyBorder="1" applyAlignment="1"/>
    <xf numFmtId="0" fontId="2" fillId="2" borderId="6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/>
    <xf numFmtId="0" fontId="0" fillId="0" borderId="0" xfId="0" applyProtection="1"/>
    <xf numFmtId="1" fontId="0" fillId="0" borderId="0" xfId="0" applyNumberFormat="1" applyFont="1" applyAlignment="1" applyProtection="1"/>
    <xf numFmtId="0" fontId="0" fillId="0" borderId="0" xfId="0" applyFill="1" applyBorder="1"/>
    <xf numFmtId="0" fontId="5" fillId="0" borderId="0" xfId="0" applyFont="1" applyFill="1" applyBorder="1"/>
    <xf numFmtId="16" fontId="3" fillId="0" borderId="0" xfId="0" applyNumberFormat="1" applyFont="1" applyFill="1" applyBorder="1" applyAlignment="1">
      <alignment horizontal="center" vertical="center"/>
    </xf>
    <xf numFmtId="16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0" fillId="0" borderId="0" xfId="0" applyFont="1" applyBorder="1" applyAlignment="1">
      <alignment horizontal="center"/>
    </xf>
    <xf numFmtId="0" fontId="0" fillId="4" borderId="3" xfId="0" applyFill="1" applyBorder="1"/>
    <xf numFmtId="0" fontId="2" fillId="0" borderId="0" xfId="0" applyFont="1" applyFill="1" applyBorder="1"/>
    <xf numFmtId="0" fontId="0" fillId="4" borderId="3" xfId="0" applyFont="1" applyFill="1" applyBorder="1"/>
    <xf numFmtId="0" fontId="0" fillId="4" borderId="8" xfId="0" applyFont="1" applyFill="1" applyBorder="1"/>
    <xf numFmtId="1" fontId="0" fillId="0" borderId="5" xfId="0" applyNumberFormat="1" applyFont="1" applyBorder="1" applyAlignment="1"/>
    <xf numFmtId="1" fontId="0" fillId="0" borderId="3" xfId="0" applyNumberFormat="1" applyBorder="1"/>
    <xf numFmtId="1" fontId="0" fillId="0" borderId="0" xfId="0" applyNumberFormat="1" applyBorder="1"/>
    <xf numFmtId="0" fontId="0" fillId="0" borderId="5" xfId="0" applyFont="1" applyBorder="1" applyAlignment="1"/>
    <xf numFmtId="164" fontId="0" fillId="0" borderId="0" xfId="0" applyNumberFormat="1"/>
    <xf numFmtId="164" fontId="0" fillId="0" borderId="0" xfId="0" applyNumberFormat="1" applyFont="1" applyBorder="1" applyAlignment="1"/>
    <xf numFmtId="0" fontId="0" fillId="0" borderId="14" xfId="0" applyBorder="1"/>
    <xf numFmtId="0" fontId="0" fillId="0" borderId="17" xfId="0" applyBorder="1"/>
    <xf numFmtId="0" fontId="0" fillId="0" borderId="6" xfId="0" applyFont="1" applyBorder="1" applyAlignment="1"/>
    <xf numFmtId="164" fontId="0" fillId="2" borderId="1" xfId="0" applyNumberFormat="1" applyFont="1" applyFill="1" applyBorder="1" applyAlignment="1"/>
    <xf numFmtId="0" fontId="0" fillId="0" borderId="0" xfId="0" applyFont="1" applyFill="1" applyAlignment="1"/>
    <xf numFmtId="0" fontId="2" fillId="0" borderId="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7" fillId="0" borderId="0" xfId="0" quotePrefix="1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9" borderId="0" xfId="0" applyFont="1" applyFill="1" applyBorder="1" applyAlignment="1">
      <alignment horizontal="center"/>
    </xf>
    <xf numFmtId="0" fontId="0" fillId="10" borderId="0" xfId="0" applyFont="1" applyFill="1" applyBorder="1" applyAlignment="1">
      <alignment horizontal="center"/>
    </xf>
    <xf numFmtId="0" fontId="0" fillId="11" borderId="0" xfId="0" applyFont="1" applyFill="1" applyBorder="1" applyAlignment="1">
      <alignment horizontal="center"/>
    </xf>
    <xf numFmtId="0" fontId="0" fillId="12" borderId="0" xfId="0" applyFont="1" applyFill="1" applyBorder="1" applyAlignment="1">
      <alignment horizontal="center"/>
    </xf>
    <xf numFmtId="0" fontId="0" fillId="0" borderId="0" xfId="0" applyNumberFormat="1" applyFont="1" applyAlignment="1"/>
    <xf numFmtId="0" fontId="2" fillId="0" borderId="0" xfId="0" applyFont="1" applyBorder="1" applyAlignment="1"/>
    <xf numFmtId="0" fontId="4" fillId="0" borderId="22" xfId="0" applyFont="1" applyBorder="1" applyAlignment="1">
      <alignment horizontal="center"/>
    </xf>
    <xf numFmtId="0" fontId="6" fillId="7" borderId="22" xfId="0" applyFont="1" applyFill="1" applyBorder="1" applyAlignment="1">
      <alignment horizontal="center" vertical="center"/>
    </xf>
    <xf numFmtId="0" fontId="6" fillId="8" borderId="22" xfId="0" applyFont="1" applyFill="1" applyBorder="1" applyAlignment="1">
      <alignment horizontal="center" vertical="center"/>
    </xf>
    <xf numFmtId="0" fontId="0" fillId="0" borderId="21" xfId="0" applyBorder="1"/>
    <xf numFmtId="1" fontId="0" fillId="0" borderId="0" xfId="0" applyNumberFormat="1" applyAlignment="1">
      <alignment horizontal="center"/>
    </xf>
    <xf numFmtId="0" fontId="0" fillId="0" borderId="11" xfId="0" applyBorder="1"/>
    <xf numFmtId="0" fontId="0" fillId="0" borderId="12" xfId="0" applyBorder="1"/>
    <xf numFmtId="2" fontId="0" fillId="0" borderId="0" xfId="0" applyNumberFormat="1" applyFont="1" applyBorder="1" applyAlignment="1"/>
    <xf numFmtId="16" fontId="0" fillId="0" borderId="0" xfId="0" applyNumberFormat="1" applyFont="1" applyBorder="1" applyAlignment="1">
      <alignment horizontal="center"/>
    </xf>
    <xf numFmtId="0" fontId="4" fillId="0" borderId="0" xfId="0" applyFont="1" applyBorder="1" applyAlignment="1"/>
    <xf numFmtId="0" fontId="4" fillId="0" borderId="0" xfId="0" applyNumberFormat="1" applyFont="1" applyBorder="1" applyAlignment="1"/>
    <xf numFmtId="2" fontId="0" fillId="0" borderId="17" xfId="0" applyNumberFormat="1" applyFont="1" applyBorder="1" applyAlignment="1"/>
    <xf numFmtId="1" fontId="0" fillId="0" borderId="17" xfId="0" applyNumberFormat="1" applyFont="1" applyFill="1" applyBorder="1" applyAlignment="1"/>
    <xf numFmtId="0" fontId="0" fillId="0" borderId="15" xfId="0" applyBorder="1"/>
    <xf numFmtId="0" fontId="0" fillId="0" borderId="16" xfId="0" applyBorder="1"/>
    <xf numFmtId="0" fontId="0" fillId="0" borderId="22" xfId="0" applyFont="1" applyFill="1" applyBorder="1" applyAlignment="1"/>
    <xf numFmtId="0" fontId="6" fillId="9" borderId="22" xfId="0" applyFont="1" applyFill="1" applyBorder="1" applyAlignment="1">
      <alignment horizontal="center" vertical="center"/>
    </xf>
    <xf numFmtId="0" fontId="6" fillId="10" borderId="22" xfId="0" applyFont="1" applyFill="1" applyBorder="1" applyAlignment="1">
      <alignment horizontal="center" vertical="center"/>
    </xf>
    <xf numFmtId="0" fontId="6" fillId="11" borderId="22" xfId="0" applyFont="1" applyFill="1" applyBorder="1" applyAlignment="1">
      <alignment horizontal="center" vertical="center"/>
    </xf>
    <xf numFmtId="0" fontId="6" fillId="12" borderId="22" xfId="0" applyFont="1" applyFill="1" applyBorder="1" applyAlignment="1">
      <alignment vertical="center"/>
    </xf>
    <xf numFmtId="0" fontId="7" fillId="5" borderId="22" xfId="0" quotePrefix="1" applyFont="1" applyFill="1" applyBorder="1" applyAlignment="1">
      <alignment horizontal="center" vertical="center"/>
    </xf>
    <xf numFmtId="0" fontId="7" fillId="13" borderId="22" xfId="0" quotePrefix="1" applyFont="1" applyFill="1" applyBorder="1" applyAlignment="1">
      <alignment horizontal="center" vertical="center"/>
    </xf>
    <xf numFmtId="0" fontId="7" fillId="0" borderId="22" xfId="0" quotePrefix="1" applyFont="1" applyBorder="1" applyAlignment="1">
      <alignment horizontal="center" vertical="center"/>
    </xf>
    <xf numFmtId="0" fontId="6" fillId="0" borderId="22" xfId="0" quotePrefix="1" applyFont="1" applyBorder="1" applyAlignment="1">
      <alignment horizontal="center" vertical="center"/>
    </xf>
    <xf numFmtId="0" fontId="0" fillId="0" borderId="22" xfId="0" applyFont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5" borderId="0" xfId="0" applyFont="1" applyFill="1" applyBorder="1" applyAlignment="1">
      <alignment horizontal="center"/>
    </xf>
    <xf numFmtId="0" fontId="0" fillId="13" borderId="0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0" fontId="0" fillId="7" borderId="0" xfId="0" applyFont="1" applyFill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8" borderId="0" xfId="0" applyFont="1" applyFill="1" applyBorder="1" applyAlignment="1">
      <alignment horizontal="center"/>
    </xf>
    <xf numFmtId="0" fontId="0" fillId="3" borderId="22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0" borderId="0" xfId="0" applyFill="1"/>
    <xf numFmtId="0" fontId="0" fillId="6" borderId="3" xfId="0" applyFill="1" applyBorder="1" applyProtection="1">
      <protection locked="0"/>
    </xf>
    <xf numFmtId="0" fontId="0" fillId="6" borderId="7" xfId="0" applyFill="1" applyBorder="1" applyProtection="1">
      <protection locked="0"/>
    </xf>
    <xf numFmtId="0" fontId="0" fillId="0" borderId="0" xfId="0" applyProtection="1">
      <protection locked="0"/>
    </xf>
    <xf numFmtId="0" fontId="0" fillId="15" borderId="3" xfId="0" applyFill="1" applyBorder="1"/>
    <xf numFmtId="0" fontId="0" fillId="2" borderId="19" xfId="0" applyFont="1" applyFill="1" applyBorder="1"/>
    <xf numFmtId="0" fontId="0" fillId="2" borderId="18" xfId="0" applyFont="1" applyFill="1" applyBorder="1"/>
    <xf numFmtId="0" fontId="0" fillId="0" borderId="5" xfId="0" applyFont="1" applyFill="1" applyBorder="1"/>
    <xf numFmtId="0" fontId="0" fillId="0" borderId="3" xfId="0" applyBorder="1" applyAlignment="1">
      <alignment horizontal="left"/>
    </xf>
    <xf numFmtId="0" fontId="0" fillId="0" borderId="10" xfId="0" applyNumberFormat="1" applyFont="1" applyFill="1" applyBorder="1"/>
    <xf numFmtId="0" fontId="1" fillId="0" borderId="0" xfId="0" applyFont="1" applyFill="1" applyBorder="1" applyAlignment="1">
      <alignment vertical="center" wrapText="1"/>
    </xf>
    <xf numFmtId="0" fontId="1" fillId="0" borderId="6" xfId="0" applyFont="1" applyFill="1" applyBorder="1" applyAlignment="1">
      <alignment vertical="center" wrapText="1"/>
    </xf>
    <xf numFmtId="0" fontId="0" fillId="0" borderId="10" xfId="0" applyFont="1" applyFill="1" applyBorder="1" applyAlignment="1"/>
    <xf numFmtId="0" fontId="0" fillId="0" borderId="6" xfId="0" applyNumberFormat="1" applyFont="1" applyFill="1" applyBorder="1" applyAlignment="1">
      <alignment horizontal="center"/>
    </xf>
    <xf numFmtId="0" fontId="0" fillId="0" borderId="10" xfId="0" applyNumberFormat="1" applyFont="1" applyFill="1" applyBorder="1" applyAlignment="1"/>
    <xf numFmtId="0" fontId="1" fillId="0" borderId="24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7" fillId="0" borderId="23" xfId="0" quotePrefix="1" applyFont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0" fillId="7" borderId="0" xfId="0" applyFont="1" applyFill="1" applyBorder="1" applyAlignment="1">
      <alignment horizontal="center" vertical="center"/>
    </xf>
    <xf numFmtId="0" fontId="0" fillId="7" borderId="26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0" fontId="0" fillId="8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horizontal="center" vertical="center"/>
    </xf>
    <xf numFmtId="0" fontId="0" fillId="11" borderId="0" xfId="0" applyFont="1" applyFill="1" applyBorder="1" applyAlignment="1">
      <alignment horizontal="center" vertical="center"/>
    </xf>
    <xf numFmtId="0" fontId="0" fillId="12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1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8" borderId="26" xfId="0" applyFont="1" applyFill="1" applyBorder="1" applyAlignment="1">
      <alignment horizontal="center" vertical="center"/>
    </xf>
    <xf numFmtId="0" fontId="0" fillId="3" borderId="26" xfId="0" applyFont="1" applyFill="1" applyBorder="1" applyAlignment="1">
      <alignment horizontal="center" vertical="center"/>
    </xf>
    <xf numFmtId="0" fontId="0" fillId="9" borderId="26" xfId="0" applyFont="1" applyFill="1" applyBorder="1" applyAlignment="1">
      <alignment horizontal="center" vertical="center"/>
    </xf>
    <xf numFmtId="0" fontId="0" fillId="10" borderId="26" xfId="0" applyFont="1" applyFill="1" applyBorder="1" applyAlignment="1">
      <alignment horizontal="center" vertical="center"/>
    </xf>
    <xf numFmtId="0" fontId="0" fillId="11" borderId="26" xfId="0" applyFont="1" applyFill="1" applyBorder="1" applyAlignment="1">
      <alignment horizontal="center" vertical="center"/>
    </xf>
    <xf numFmtId="0" fontId="0" fillId="12" borderId="26" xfId="0" applyFont="1" applyFill="1" applyBorder="1" applyAlignment="1">
      <alignment horizontal="center" vertical="center"/>
    </xf>
    <xf numFmtId="0" fontId="0" fillId="5" borderId="26" xfId="0" applyFont="1" applyFill="1" applyBorder="1" applyAlignment="1">
      <alignment horizontal="center" vertical="center"/>
    </xf>
    <xf numFmtId="0" fontId="0" fillId="13" borderId="26" xfId="0" applyFont="1" applyFill="1" applyBorder="1" applyAlignment="1">
      <alignment horizontal="center" vertical="center"/>
    </xf>
    <xf numFmtId="0" fontId="0" fillId="3" borderId="26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1" fillId="2" borderId="5" xfId="0" applyNumberFormat="1" applyFont="1" applyFill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 wrapText="1"/>
    </xf>
    <xf numFmtId="0" fontId="0" fillId="18" borderId="0" xfId="0" applyFont="1" applyFill="1" applyBorder="1" applyAlignment="1"/>
    <xf numFmtId="0" fontId="0" fillId="18" borderId="5" xfId="0" applyFont="1" applyFill="1" applyBorder="1" applyAlignment="1"/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2" xfId="0" applyFill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NumberFormat="1"/>
    <xf numFmtId="164" fontId="0" fillId="0" borderId="0" xfId="0" applyNumberFormat="1" applyBorder="1"/>
    <xf numFmtId="1" fontId="0" fillId="0" borderId="0" xfId="0" applyNumberFormat="1" applyFill="1" applyBorder="1" applyAlignment="1">
      <alignment horizontal="center"/>
    </xf>
    <xf numFmtId="16" fontId="0" fillId="0" borderId="0" xfId="0" applyNumberFormat="1"/>
    <xf numFmtId="0" fontId="0" fillId="16" borderId="3" xfId="0" applyFill="1" applyBorder="1"/>
    <xf numFmtId="0" fontId="9" fillId="0" borderId="0" xfId="0" applyFont="1" applyFill="1" applyBorder="1"/>
    <xf numFmtId="0" fontId="0" fillId="6" borderId="3" xfId="0" applyFill="1" applyBorder="1"/>
    <xf numFmtId="0" fontId="0" fillId="6" borderId="3" xfId="0" applyFont="1" applyFill="1" applyBorder="1"/>
    <xf numFmtId="0" fontId="0" fillId="15" borderId="27" xfId="0" applyFill="1" applyBorder="1"/>
    <xf numFmtId="1" fontId="0" fillId="0" borderId="0" xfId="0" applyNumberFormat="1" applyFill="1" applyBorder="1"/>
    <xf numFmtId="0" fontId="0" fillId="2" borderId="10" xfId="0" applyNumberFormat="1" applyFont="1" applyFill="1" applyBorder="1" applyAlignment="1"/>
    <xf numFmtId="0" fontId="1" fillId="2" borderId="6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28" xfId="0" applyNumberFormat="1" applyFont="1" applyBorder="1" applyAlignment="1"/>
    <xf numFmtId="1" fontId="0" fillId="0" borderId="29" xfId="0" applyNumberFormat="1" applyFont="1" applyBorder="1" applyAlignment="1"/>
    <xf numFmtId="0" fontId="14" fillId="0" borderId="0" xfId="0" applyFont="1"/>
    <xf numFmtId="0" fontId="15" fillId="0" borderId="0" xfId="0" applyFon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1" fontId="0" fillId="2" borderId="10" xfId="0" applyNumberFormat="1" applyFont="1" applyFill="1" applyBorder="1" applyAlignment="1"/>
    <xf numFmtId="1" fontId="0" fillId="2" borderId="1" xfId="0" applyNumberFormat="1" applyFont="1" applyFill="1" applyBorder="1" applyAlignment="1"/>
    <xf numFmtId="0" fontId="2" fillId="0" borderId="8" xfId="0" applyFont="1" applyBorder="1"/>
    <xf numFmtId="0" fontId="0" fillId="4" borderId="9" xfId="0" applyFill="1" applyBorder="1"/>
    <xf numFmtId="0" fontId="0" fillId="4" borderId="9" xfId="0" applyFont="1" applyFill="1" applyBorder="1"/>
    <xf numFmtId="0" fontId="2" fillId="0" borderId="30" xfId="0" applyFont="1" applyBorder="1"/>
    <xf numFmtId="1" fontId="0" fillId="0" borderId="32" xfId="0" applyNumberFormat="1" applyBorder="1"/>
    <xf numFmtId="0" fontId="0" fillId="0" borderId="33" xfId="0" applyBorder="1"/>
    <xf numFmtId="0" fontId="0" fillId="0" borderId="34" xfId="0" applyBorder="1"/>
    <xf numFmtId="0" fontId="0" fillId="0" borderId="35" xfId="0" applyFont="1" applyBorder="1"/>
    <xf numFmtId="1" fontId="0" fillId="0" borderId="36" xfId="0" applyNumberFormat="1" applyBorder="1"/>
    <xf numFmtId="0" fontId="0" fillId="0" borderId="37" xfId="0" applyBorder="1"/>
    <xf numFmtId="0" fontId="0" fillId="0" borderId="38" xfId="0" applyFont="1" applyBorder="1"/>
    <xf numFmtId="1" fontId="0" fillId="0" borderId="7" xfId="0" applyNumberFormat="1" applyBorder="1"/>
    <xf numFmtId="0" fontId="0" fillId="4" borderId="31" xfId="0" applyFill="1" applyBorder="1"/>
    <xf numFmtId="0" fontId="0" fillId="4" borderId="31" xfId="0" applyFont="1" applyFill="1" applyBorder="1"/>
    <xf numFmtId="0" fontId="0" fillId="14" borderId="3" xfId="0" applyFont="1" applyFill="1" applyBorder="1"/>
    <xf numFmtId="0" fontId="1" fillId="19" borderId="47" xfId="0" applyFont="1" applyFill="1" applyBorder="1"/>
    <xf numFmtId="0" fontId="1" fillId="19" borderId="45" xfId="0" applyFont="1" applyFill="1" applyBorder="1"/>
    <xf numFmtId="0" fontId="1" fillId="19" borderId="0" xfId="0" applyFont="1" applyFill="1" applyBorder="1" applyAlignment="1">
      <alignment vertical="center"/>
    </xf>
    <xf numFmtId="0" fontId="1" fillId="19" borderId="28" xfId="0" applyFont="1" applyFill="1" applyBorder="1" applyAlignment="1">
      <alignment vertical="center"/>
    </xf>
    <xf numFmtId="0" fontId="1" fillId="19" borderId="46" xfId="0" applyFont="1" applyFill="1" applyBorder="1" applyAlignment="1">
      <alignment vertical="center"/>
    </xf>
    <xf numFmtId="0" fontId="1" fillId="19" borderId="23" xfId="0" applyFont="1" applyFill="1" applyBorder="1" applyAlignment="1">
      <alignment vertical="center"/>
    </xf>
    <xf numFmtId="0" fontId="1" fillId="19" borderId="0" xfId="0" applyFont="1" applyFill="1" applyBorder="1" applyAlignment="1">
      <alignment horizontal="center" vertical="center"/>
    </xf>
    <xf numFmtId="0" fontId="17" fillId="19" borderId="0" xfId="0" applyFont="1" applyFill="1" applyBorder="1" applyAlignment="1">
      <alignment horizontal="center" vertical="center" textRotation="180"/>
    </xf>
    <xf numFmtId="0" fontId="19" fillId="19" borderId="0" xfId="0" applyFont="1" applyFill="1" applyBorder="1" applyAlignment="1"/>
    <xf numFmtId="0" fontId="21" fillId="19" borderId="47" xfId="0" applyFont="1" applyFill="1" applyBorder="1"/>
    <xf numFmtId="0" fontId="21" fillId="19" borderId="0" xfId="0" applyFont="1" applyFill="1" applyBorder="1" applyAlignment="1">
      <alignment vertical="center"/>
    </xf>
    <xf numFmtId="0" fontId="21" fillId="19" borderId="28" xfId="0" applyFont="1" applyFill="1" applyBorder="1" applyAlignment="1">
      <alignment vertical="center"/>
    </xf>
    <xf numFmtId="0" fontId="22" fillId="19" borderId="0" xfId="0" applyFont="1" applyFill="1" applyBorder="1" applyAlignment="1">
      <alignment horizontal="center" vertical="center" textRotation="90"/>
    </xf>
    <xf numFmtId="0" fontId="21" fillId="19" borderId="0" xfId="0" applyFont="1" applyFill="1" applyBorder="1" applyAlignment="1">
      <alignment horizontal="center" vertical="center"/>
    </xf>
    <xf numFmtId="0" fontId="22" fillId="19" borderId="0" xfId="0" applyFont="1" applyFill="1" applyBorder="1" applyAlignment="1">
      <alignment horizontal="center" vertical="center" textRotation="180"/>
    </xf>
    <xf numFmtId="0" fontId="21" fillId="19" borderId="0" xfId="0" applyFont="1" applyFill="1"/>
    <xf numFmtId="0" fontId="22" fillId="0" borderId="21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1" fillId="19" borderId="44" xfId="0" applyFont="1" applyFill="1" applyBorder="1" applyAlignment="1">
      <alignment horizontal="center" vertical="center"/>
    </xf>
    <xf numFmtId="0" fontId="22" fillId="0" borderId="21" xfId="0" applyFont="1" applyFill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19" borderId="45" xfId="0" applyFont="1" applyFill="1" applyBorder="1"/>
    <xf numFmtId="0" fontId="21" fillId="19" borderId="46" xfId="0" applyFont="1" applyFill="1" applyBorder="1" applyAlignment="1">
      <alignment vertical="center"/>
    </xf>
    <xf numFmtId="0" fontId="21" fillId="19" borderId="23" xfId="0" applyFont="1" applyFill="1" applyBorder="1" applyAlignment="1">
      <alignment vertical="center"/>
    </xf>
    <xf numFmtId="0" fontId="21" fillId="0" borderId="22" xfId="0" applyFont="1" applyFill="1" applyBorder="1" applyAlignment="1">
      <alignment vertical="center"/>
    </xf>
    <xf numFmtId="0" fontId="0" fillId="19" borderId="47" xfId="0" applyFill="1" applyBorder="1"/>
    <xf numFmtId="0" fontId="0" fillId="19" borderId="0" xfId="0" applyFill="1" applyBorder="1"/>
    <xf numFmtId="0" fontId="23" fillId="0" borderId="21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/>
    </xf>
    <xf numFmtId="0" fontId="26" fillId="0" borderId="21" xfId="0" applyFont="1" applyFill="1" applyBorder="1" applyAlignment="1">
      <alignment horizontal="center" vertical="center"/>
    </xf>
    <xf numFmtId="0" fontId="26" fillId="0" borderId="41" xfId="0" applyFont="1" applyFill="1" applyBorder="1" applyAlignment="1">
      <alignment horizontal="center"/>
    </xf>
    <xf numFmtId="0" fontId="25" fillId="19" borderId="0" xfId="0" applyFont="1" applyFill="1" applyBorder="1" applyAlignment="1">
      <alignment horizontal="center" vertical="center"/>
    </xf>
    <xf numFmtId="0" fontId="23" fillId="19" borderId="0" xfId="0" applyFont="1" applyFill="1" applyBorder="1" applyAlignment="1">
      <alignment horizontal="center" vertical="center"/>
    </xf>
    <xf numFmtId="0" fontId="0" fillId="19" borderId="46" xfId="0" applyFill="1" applyBorder="1"/>
    <xf numFmtId="0" fontId="21" fillId="0" borderId="21" xfId="0" applyFont="1" applyFill="1" applyBorder="1" applyAlignment="1">
      <alignment horizontal="center" vertical="center"/>
    </xf>
    <xf numFmtId="0" fontId="18" fillId="0" borderId="0" xfId="0" applyFont="1"/>
    <xf numFmtId="0" fontId="27" fillId="20" borderId="0" xfId="0" applyFont="1" applyFill="1"/>
    <xf numFmtId="0" fontId="28" fillId="0" borderId="0" xfId="0" applyFont="1" applyAlignment="1">
      <alignment vertical="center"/>
    </xf>
    <xf numFmtId="0" fontId="0" fillId="0" borderId="20" xfId="0" applyBorder="1"/>
    <xf numFmtId="0" fontId="0" fillId="6" borderId="31" xfId="0" applyFill="1" applyBorder="1"/>
    <xf numFmtId="0" fontId="2" fillId="0" borderId="3" xfId="0" applyFont="1" applyBorder="1"/>
    <xf numFmtId="0" fontId="28" fillId="0" borderId="13" xfId="0" applyFont="1" applyBorder="1" applyAlignment="1">
      <alignment vertical="center"/>
    </xf>
    <xf numFmtId="0" fontId="28" fillId="0" borderId="15" xfId="0" applyFont="1" applyBorder="1" applyAlignment="1">
      <alignment vertical="center"/>
    </xf>
    <xf numFmtId="0" fontId="28" fillId="0" borderId="15" xfId="0" applyFont="1" applyBorder="1" applyAlignment="1">
      <alignment horizontal="right" vertical="center"/>
    </xf>
    <xf numFmtId="0" fontId="18" fillId="0" borderId="14" xfId="0" applyFont="1" applyBorder="1"/>
    <xf numFmtId="0" fontId="0" fillId="0" borderId="0" xfId="0" applyFont="1" applyFill="1"/>
    <xf numFmtId="0" fontId="1" fillId="0" borderId="0" xfId="0" applyFont="1"/>
    <xf numFmtId="0" fontId="29" fillId="0" borderId="0" xfId="0" applyFont="1" applyFill="1"/>
    <xf numFmtId="0" fontId="30" fillId="0" borderId="0" xfId="0" applyFont="1" applyBorder="1" applyAlignment="1"/>
    <xf numFmtId="0" fontId="29" fillId="0" borderId="0" xfId="0" applyFont="1"/>
    <xf numFmtId="0" fontId="0" fillId="21" borderId="7" xfId="0" applyFill="1" applyBorder="1"/>
    <xf numFmtId="0" fontId="0" fillId="21" borderId="3" xfId="0" applyFill="1" applyBorder="1"/>
    <xf numFmtId="0" fontId="29" fillId="0" borderId="0" xfId="0" applyFont="1" applyFill="1" applyBorder="1"/>
    <xf numFmtId="0" fontId="0" fillId="17" borderId="31" xfId="0" applyFont="1" applyFill="1" applyBorder="1"/>
    <xf numFmtId="0" fontId="0" fillId="17" borderId="3" xfId="0" applyFont="1" applyFill="1" applyBorder="1"/>
    <xf numFmtId="0" fontId="0" fillId="2" borderId="5" xfId="0" applyNumberFormat="1" applyFont="1" applyFill="1" applyBorder="1" applyAlignment="1">
      <alignment horizontal="center"/>
    </xf>
    <xf numFmtId="0" fontId="2" fillId="16" borderId="0" xfId="0" applyFont="1" applyFill="1" applyAlignment="1">
      <alignment horizontal="center" vertical="center" wrapText="1"/>
    </xf>
    <xf numFmtId="0" fontId="2" fillId="15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center" vertical="center" wrapText="1"/>
    </xf>
    <xf numFmtId="0" fontId="2" fillId="17" borderId="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textRotation="90"/>
    </xf>
    <xf numFmtId="0" fontId="0" fillId="0" borderId="0" xfId="0" applyAlignment="1">
      <alignment horizontal="center" textRotation="90"/>
    </xf>
    <xf numFmtId="0" fontId="8" fillId="16" borderId="0" xfId="0" applyFont="1" applyFill="1" applyAlignment="1">
      <alignment horizontal="center" vertical="top" wrapText="1"/>
    </xf>
    <xf numFmtId="0" fontId="8" fillId="15" borderId="0" xfId="0" applyFont="1" applyFill="1" applyAlignment="1">
      <alignment horizontal="center" vertical="top" wrapText="1"/>
    </xf>
    <xf numFmtId="0" fontId="8" fillId="14" borderId="0" xfId="0" applyFont="1" applyFill="1" applyAlignment="1">
      <alignment horizontal="center" vertical="top" wrapText="1"/>
    </xf>
    <xf numFmtId="0" fontId="8" fillId="17" borderId="0" xfId="0" applyFont="1" applyFill="1" applyBorder="1" applyAlignment="1">
      <alignment horizontal="center" wrapText="1"/>
    </xf>
    <xf numFmtId="0" fontId="21" fillId="19" borderId="41" xfId="0" applyFont="1" applyFill="1" applyBorder="1" applyAlignment="1">
      <alignment horizontal="center"/>
    </xf>
    <xf numFmtId="0" fontId="21" fillId="19" borderId="44" xfId="0" applyFont="1" applyFill="1" applyBorder="1" applyAlignment="1">
      <alignment horizontal="center"/>
    </xf>
    <xf numFmtId="0" fontId="16" fillId="0" borderId="42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6" fillId="0" borderId="43" xfId="0" applyFont="1" applyBorder="1" applyAlignment="1">
      <alignment horizontal="center" vertical="center"/>
    </xf>
    <xf numFmtId="0" fontId="16" fillId="0" borderId="45" xfId="0" applyFont="1" applyBorder="1" applyAlignment="1">
      <alignment horizontal="center" vertical="center"/>
    </xf>
    <xf numFmtId="0" fontId="16" fillId="0" borderId="46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18" fillId="0" borderId="48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20" fillId="0" borderId="48" xfId="0" applyFont="1" applyBorder="1" applyAlignment="1">
      <alignment horizontal="center" vertical="center"/>
    </xf>
    <xf numFmtId="0" fontId="20" fillId="0" borderId="49" xfId="0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22" fillId="0" borderId="48" xfId="0" applyFont="1" applyBorder="1" applyAlignment="1">
      <alignment horizontal="center" vertical="center"/>
    </xf>
    <xf numFmtId="0" fontId="22" fillId="0" borderId="49" xfId="0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48" xfId="0" applyFont="1" applyFill="1" applyBorder="1" applyAlignment="1">
      <alignment horizontal="center"/>
    </xf>
    <xf numFmtId="0" fontId="22" fillId="0" borderId="49" xfId="0" applyFont="1" applyFill="1" applyBorder="1" applyAlignment="1">
      <alignment horizontal="center"/>
    </xf>
    <xf numFmtId="0" fontId="22" fillId="0" borderId="40" xfId="0" applyFont="1" applyFill="1" applyBorder="1" applyAlignment="1">
      <alignment horizontal="center"/>
    </xf>
    <xf numFmtId="0" fontId="21" fillId="0" borderId="48" xfId="0" applyFont="1" applyFill="1" applyBorder="1" applyAlignment="1">
      <alignment horizontal="center" vertical="center"/>
    </xf>
    <xf numFmtId="0" fontId="21" fillId="0" borderId="49" xfId="0" applyFont="1" applyFill="1" applyBorder="1" applyAlignment="1">
      <alignment horizontal="center" vertical="center"/>
    </xf>
    <xf numFmtId="0" fontId="21" fillId="0" borderId="40" xfId="0" applyFont="1" applyFill="1" applyBorder="1" applyAlignment="1">
      <alignment horizontal="center" vertical="center"/>
    </xf>
    <xf numFmtId="0" fontId="22" fillId="0" borderId="21" xfId="0" applyFont="1" applyFill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textRotation="90"/>
    </xf>
    <xf numFmtId="0" fontId="20" fillId="0" borderId="44" xfId="0" applyFont="1" applyBorder="1" applyAlignment="1">
      <alignment horizontal="center" vertical="center" textRotation="90"/>
    </xf>
    <xf numFmtId="0" fontId="20" fillId="0" borderId="22" xfId="0" applyFont="1" applyBorder="1" applyAlignment="1">
      <alignment horizontal="center" vertical="center" textRotation="90"/>
    </xf>
    <xf numFmtId="0" fontId="18" fillId="0" borderId="41" xfId="0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47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 textRotation="180"/>
    </xf>
    <xf numFmtId="0" fontId="20" fillId="0" borderId="44" xfId="0" applyFont="1" applyBorder="1" applyAlignment="1">
      <alignment horizontal="center" vertical="center" textRotation="180"/>
    </xf>
    <xf numFmtId="0" fontId="20" fillId="0" borderId="22" xfId="0" applyFont="1" applyBorder="1" applyAlignment="1">
      <alignment horizontal="center" vertical="center" textRotation="180"/>
    </xf>
    <xf numFmtId="0" fontId="23" fillId="0" borderId="48" xfId="0" applyFont="1" applyFill="1" applyBorder="1" applyAlignment="1">
      <alignment horizontal="center" vertical="center"/>
    </xf>
    <xf numFmtId="0" fontId="23" fillId="0" borderId="49" xfId="0" applyFont="1" applyFill="1" applyBorder="1" applyAlignment="1">
      <alignment horizontal="center" vertical="center"/>
    </xf>
    <xf numFmtId="0" fontId="23" fillId="0" borderId="40" xfId="0" applyFont="1" applyFill="1" applyBorder="1" applyAlignment="1">
      <alignment horizontal="center" vertical="center"/>
    </xf>
    <xf numFmtId="0" fontId="18" fillId="0" borderId="48" xfId="0" applyFont="1" applyBorder="1" applyAlignment="1">
      <alignment horizontal="center"/>
    </xf>
    <xf numFmtId="0" fontId="18" fillId="0" borderId="49" xfId="0" applyFont="1" applyBorder="1" applyAlignment="1">
      <alignment horizontal="center"/>
    </xf>
    <xf numFmtId="0" fontId="18" fillId="0" borderId="40" xfId="0" applyFont="1" applyBorder="1" applyAlignment="1">
      <alignment horizontal="center"/>
    </xf>
    <xf numFmtId="0" fontId="21" fillId="19" borderId="41" xfId="0" applyFont="1" applyFill="1" applyBorder="1" applyAlignment="1">
      <alignment horizontal="center" vertical="center"/>
    </xf>
    <xf numFmtId="0" fontId="21" fillId="19" borderId="44" xfId="0" applyFont="1" applyFill="1" applyBorder="1" applyAlignment="1">
      <alignment horizontal="center" vertical="center"/>
    </xf>
    <xf numFmtId="0" fontId="22" fillId="0" borderId="48" xfId="0" applyFont="1" applyFill="1" applyBorder="1" applyAlignment="1">
      <alignment horizontal="center" vertical="center"/>
    </xf>
    <xf numFmtId="0" fontId="22" fillId="0" borderId="40" xfId="0" applyFont="1" applyFill="1" applyBorder="1" applyAlignment="1">
      <alignment horizontal="center" vertical="center"/>
    </xf>
    <xf numFmtId="0" fontId="21" fillId="0" borderId="48" xfId="0" applyFont="1" applyBorder="1" applyAlignment="1">
      <alignment horizontal="center" vertical="center"/>
    </xf>
    <xf numFmtId="0" fontId="21" fillId="0" borderId="49" xfId="0" applyFont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  <xf numFmtId="0" fontId="1" fillId="19" borderId="41" xfId="0" applyFont="1" applyFill="1" applyBorder="1" applyAlignment="1">
      <alignment horizontal="center" vertical="center"/>
    </xf>
    <xf numFmtId="0" fontId="1" fillId="19" borderId="44" xfId="0" applyFont="1" applyFill="1" applyBorder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4" xfId="0" applyFont="1" applyFill="1" applyBorder="1" applyAlignment="1">
      <alignment horizontal="center"/>
    </xf>
    <xf numFmtId="0" fontId="16" fillId="0" borderId="48" xfId="0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16" fillId="0" borderId="40" xfId="0" applyFont="1" applyBorder="1" applyAlignment="1">
      <alignment horizontal="center" vertical="center"/>
    </xf>
    <xf numFmtId="0" fontId="20" fillId="0" borderId="48" xfId="0" applyFont="1" applyFill="1" applyBorder="1" applyAlignment="1">
      <alignment horizontal="center"/>
    </xf>
    <xf numFmtId="0" fontId="2" fillId="0" borderId="40" xfId="0" applyFont="1" applyFill="1" applyBorder="1" applyAlignment="1">
      <alignment horizontal="center"/>
    </xf>
    <xf numFmtId="0" fontId="21" fillId="0" borderId="48" xfId="0" applyFont="1" applyFill="1" applyBorder="1" applyAlignment="1">
      <alignment horizontal="center"/>
    </xf>
    <xf numFmtId="0" fontId="21" fillId="0" borderId="40" xfId="0" applyFont="1" applyFill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0" fillId="0" borderId="49" xfId="0" applyFont="1" applyFill="1" applyBorder="1" applyAlignment="1">
      <alignment horizontal="center"/>
    </xf>
    <xf numFmtId="0" fontId="21" fillId="0" borderId="49" xfId="0" applyFont="1" applyFill="1" applyBorder="1" applyAlignment="1">
      <alignment horizontal="center"/>
    </xf>
    <xf numFmtId="0" fontId="26" fillId="0" borderId="48" xfId="0" applyFont="1" applyFill="1" applyBorder="1" applyAlignment="1">
      <alignment horizontal="center" vertical="center"/>
    </xf>
    <xf numFmtId="0" fontId="26" fillId="0" borderId="40" xfId="0" applyFont="1" applyFill="1" applyBorder="1" applyAlignment="1">
      <alignment horizontal="center" vertical="center"/>
    </xf>
  </cellXfs>
  <cellStyles count="1">
    <cellStyle name="Normal" xfId="0" builtinId="0"/>
  </cellStyles>
  <dxfs count="395"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0.0"/>
    </dxf>
    <dxf>
      <border outline="0">
        <left style="medium">
          <color indexed="64"/>
        </left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border outline="0">
        <left style="medium">
          <color indexed="64"/>
        </left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0.0"/>
    </dxf>
    <dxf>
      <border outline="0">
        <left style="medium">
          <color indexed="64"/>
        </left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border outline="0">
        <left style="medium">
          <color indexed="64"/>
        </left>
      </border>
    </dxf>
    <dxf>
      <numFmt numFmtId="164" formatCode="0.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/>
      </border>
    </dxf>
    <dxf>
      <border outline="0">
        <left style="medium">
          <color indexed="64"/>
        </lef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0.0"/>
    </dxf>
    <dxf>
      <border outline="0">
        <left style="medium">
          <color indexed="64"/>
        </left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border outline="0">
        <left style="medium">
          <color indexed="64"/>
        </left>
      </border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numFmt numFmtId="1" formatCode="0"/>
      <alignment horizontal="center" textRotation="0" indent="0" justifyLastLine="0" shrinkToFit="0" readingOrder="0"/>
    </dxf>
    <dxf>
      <numFmt numFmtId="1" formatCode="0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" formatCode="0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5AB09"/>
        </patternFill>
      </fill>
    </dxf>
    <dxf>
      <fill>
        <patternFill>
          <bgColor rgb="FFFF0000"/>
        </patternFill>
      </fill>
    </dxf>
    <dxf>
      <fill>
        <patternFill>
          <bgColor rgb="FFFF8A0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5AB09"/>
        </patternFill>
      </fill>
    </dxf>
    <dxf>
      <fill>
        <patternFill>
          <bgColor rgb="FFFF0000"/>
        </patternFill>
      </fill>
    </dxf>
    <dxf>
      <fill>
        <patternFill>
          <bgColor rgb="FFFF8A09"/>
        </patternFill>
      </fill>
    </dxf>
    <dxf>
      <fill>
        <patternFill>
          <bgColor rgb="FF05AB09"/>
        </patternFill>
      </fill>
    </dxf>
    <dxf>
      <fill>
        <patternFill>
          <bgColor rgb="FFFF0000"/>
        </patternFill>
      </fill>
    </dxf>
    <dxf>
      <fill>
        <patternFill>
          <bgColor rgb="FFFF8A0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5AB09"/>
        </patternFill>
      </fill>
    </dxf>
    <dxf>
      <fill>
        <patternFill>
          <bgColor rgb="FFFF0000"/>
        </patternFill>
      </fill>
    </dxf>
    <dxf>
      <fill>
        <patternFill>
          <bgColor rgb="FFFF8A0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5AB09"/>
        </patternFill>
      </fill>
    </dxf>
    <dxf>
      <fill>
        <patternFill>
          <bgColor rgb="FFFF0000"/>
        </patternFill>
      </fill>
    </dxf>
    <dxf>
      <fill>
        <patternFill>
          <bgColor rgb="FFFF8A09"/>
        </patternFill>
      </fill>
    </dxf>
  </dxfs>
  <tableStyles count="0" defaultTableStyle="TableStyleMedium2" defaultPivotStyle="PivotStyleMedium9"/>
  <colors>
    <mruColors>
      <color rgb="FFFDB22B"/>
      <color rgb="FFFF8A09"/>
      <color rgb="FF05AB09"/>
      <color rgb="FFFD503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1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177800</xdr:rowOff>
        </xdr:from>
        <xdr:to>
          <xdr:col>1</xdr:col>
          <xdr:colOff>450850</xdr:colOff>
          <xdr:row>30</xdr:row>
          <xdr:rowOff>31750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developer mode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13</xdr:row>
          <xdr:rowOff>0</xdr:rowOff>
        </xdr:from>
        <xdr:to>
          <xdr:col>2</xdr:col>
          <xdr:colOff>152400</xdr:colOff>
          <xdr:row>15</xdr:row>
          <xdr:rowOff>50800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army to documents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25400</xdr:rowOff>
        </xdr:from>
        <xdr:to>
          <xdr:col>2</xdr:col>
          <xdr:colOff>158750</xdr:colOff>
          <xdr:row>17</xdr:row>
          <xdr:rowOff>165100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army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10</xdr:row>
          <xdr:rowOff>0</xdr:rowOff>
        </xdr:from>
        <xdr:to>
          <xdr:col>2</xdr:col>
          <xdr:colOff>165100</xdr:colOff>
          <xdr:row>12</xdr:row>
          <xdr:rowOff>25400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proceed to division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635000</xdr:colOff>
          <xdr:row>19</xdr:row>
          <xdr:rowOff>158750</xdr:rowOff>
        </xdr:from>
        <xdr:to>
          <xdr:col>3</xdr:col>
          <xdr:colOff>584200</xdr:colOff>
          <xdr:row>20</xdr:row>
          <xdr:rowOff>177800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22</xdr:row>
          <xdr:rowOff>12700</xdr:rowOff>
        </xdr:from>
        <xdr:to>
          <xdr:col>0</xdr:col>
          <xdr:colOff>1873250</xdr:colOff>
          <xdr:row>23</xdr:row>
          <xdr:rowOff>171450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NZ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177800</xdr:rowOff>
        </xdr:from>
        <xdr:to>
          <xdr:col>0</xdr:col>
          <xdr:colOff>1873250</xdr:colOff>
          <xdr:row>21</xdr:row>
          <xdr:rowOff>139700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army and send to setup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12700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Defences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Defences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596900</xdr:colOff>
          <xdr:row>4</xdr:row>
          <xdr:rowOff>165100</xdr:rowOff>
        </xdr:from>
        <xdr:to>
          <xdr:col>3</xdr:col>
          <xdr:colOff>577850</xdr:colOff>
          <xdr:row>5</xdr:row>
          <xdr:rowOff>177800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39</xdr:row>
          <xdr:rowOff>177800</xdr:rowOff>
        </xdr:from>
        <xdr:to>
          <xdr:col>3</xdr:col>
          <xdr:colOff>584200</xdr:colOff>
          <xdr:row>40</xdr:row>
          <xdr:rowOff>171450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565150</xdr:colOff>
          <xdr:row>9</xdr:row>
          <xdr:rowOff>177800</xdr:rowOff>
        </xdr:from>
        <xdr:to>
          <xdr:col>3</xdr:col>
          <xdr:colOff>558800</xdr:colOff>
          <xdr:row>10</xdr:row>
          <xdr:rowOff>184150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14</xdr:row>
          <xdr:rowOff>177800</xdr:rowOff>
        </xdr:from>
        <xdr:to>
          <xdr:col>3</xdr:col>
          <xdr:colOff>590550</xdr:colOff>
          <xdr:row>15</xdr:row>
          <xdr:rowOff>171450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24</xdr:row>
          <xdr:rowOff>190500</xdr:rowOff>
        </xdr:from>
        <xdr:to>
          <xdr:col>3</xdr:col>
          <xdr:colOff>577850</xdr:colOff>
          <xdr:row>25</xdr:row>
          <xdr:rowOff>184150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30</xdr:row>
          <xdr:rowOff>0</xdr:rowOff>
        </xdr:from>
        <xdr:to>
          <xdr:col>3</xdr:col>
          <xdr:colOff>558800</xdr:colOff>
          <xdr:row>30</xdr:row>
          <xdr:rowOff>165100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615950</xdr:colOff>
          <xdr:row>35</xdr:row>
          <xdr:rowOff>0</xdr:rowOff>
        </xdr:from>
        <xdr:to>
          <xdr:col>3</xdr:col>
          <xdr:colOff>590550</xdr:colOff>
          <xdr:row>35</xdr:row>
          <xdr:rowOff>165100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635000</xdr:colOff>
          <xdr:row>19</xdr:row>
          <xdr:rowOff>158750</xdr:rowOff>
        </xdr:from>
        <xdr:to>
          <xdr:col>3</xdr:col>
          <xdr:colOff>584200</xdr:colOff>
          <xdr:row>20</xdr:row>
          <xdr:rowOff>177800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165100</xdr:rowOff>
        </xdr:from>
        <xdr:to>
          <xdr:col>9</xdr:col>
          <xdr:colOff>0</xdr:colOff>
          <xdr:row>19</xdr:row>
          <xdr:rowOff>177800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22</xdr:row>
          <xdr:rowOff>12700</xdr:rowOff>
        </xdr:from>
        <xdr:to>
          <xdr:col>0</xdr:col>
          <xdr:colOff>1873250</xdr:colOff>
          <xdr:row>23</xdr:row>
          <xdr:rowOff>171450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NZ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177800</xdr:rowOff>
        </xdr:from>
        <xdr:to>
          <xdr:col>0</xdr:col>
          <xdr:colOff>1873250</xdr:colOff>
          <xdr:row>21</xdr:row>
          <xdr:rowOff>139700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army and send to setup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12700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Defences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Defences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596900</xdr:colOff>
          <xdr:row>4</xdr:row>
          <xdr:rowOff>165100</xdr:rowOff>
        </xdr:from>
        <xdr:to>
          <xdr:col>3</xdr:col>
          <xdr:colOff>577850</xdr:colOff>
          <xdr:row>5</xdr:row>
          <xdr:rowOff>177800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39</xdr:row>
          <xdr:rowOff>177800</xdr:rowOff>
        </xdr:from>
        <xdr:to>
          <xdr:col>3</xdr:col>
          <xdr:colOff>584200</xdr:colOff>
          <xdr:row>40</xdr:row>
          <xdr:rowOff>171450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565150</xdr:colOff>
          <xdr:row>9</xdr:row>
          <xdr:rowOff>177800</xdr:rowOff>
        </xdr:from>
        <xdr:to>
          <xdr:col>3</xdr:col>
          <xdr:colOff>558800</xdr:colOff>
          <xdr:row>10</xdr:row>
          <xdr:rowOff>184150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14</xdr:row>
          <xdr:rowOff>177800</xdr:rowOff>
        </xdr:from>
        <xdr:to>
          <xdr:col>3</xdr:col>
          <xdr:colOff>590550</xdr:colOff>
          <xdr:row>15</xdr:row>
          <xdr:rowOff>171450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24</xdr:row>
          <xdr:rowOff>190500</xdr:rowOff>
        </xdr:from>
        <xdr:to>
          <xdr:col>3</xdr:col>
          <xdr:colOff>577850</xdr:colOff>
          <xdr:row>25</xdr:row>
          <xdr:rowOff>184150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30</xdr:row>
          <xdr:rowOff>0</xdr:rowOff>
        </xdr:from>
        <xdr:to>
          <xdr:col>3</xdr:col>
          <xdr:colOff>558800</xdr:colOff>
          <xdr:row>30</xdr:row>
          <xdr:rowOff>165100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615950</xdr:colOff>
          <xdr:row>35</xdr:row>
          <xdr:rowOff>0</xdr:rowOff>
        </xdr:from>
        <xdr:to>
          <xdr:col>3</xdr:col>
          <xdr:colOff>590550</xdr:colOff>
          <xdr:row>35</xdr:row>
          <xdr:rowOff>165100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6350</xdr:rowOff>
        </xdr:from>
        <xdr:to>
          <xdr:col>3</xdr:col>
          <xdr:colOff>1447800</xdr:colOff>
          <xdr:row>22</xdr:row>
          <xdr:rowOff>19050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177800</xdr:rowOff>
        </xdr:from>
        <xdr:to>
          <xdr:col>0</xdr:col>
          <xdr:colOff>1873250</xdr:colOff>
          <xdr:row>22</xdr:row>
          <xdr:rowOff>95250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army and send to setup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Defences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Defences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635000</xdr:colOff>
          <xdr:row>19</xdr:row>
          <xdr:rowOff>158750</xdr:rowOff>
        </xdr:from>
        <xdr:to>
          <xdr:col>3</xdr:col>
          <xdr:colOff>584200</xdr:colOff>
          <xdr:row>20</xdr:row>
          <xdr:rowOff>177800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22</xdr:row>
          <xdr:rowOff>12700</xdr:rowOff>
        </xdr:from>
        <xdr:to>
          <xdr:col>0</xdr:col>
          <xdr:colOff>1873250</xdr:colOff>
          <xdr:row>23</xdr:row>
          <xdr:rowOff>171450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NZ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177800</xdr:rowOff>
        </xdr:from>
        <xdr:to>
          <xdr:col>0</xdr:col>
          <xdr:colOff>1873250</xdr:colOff>
          <xdr:row>21</xdr:row>
          <xdr:rowOff>139700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army and send to setup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12700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Defences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Defences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596900</xdr:colOff>
          <xdr:row>4</xdr:row>
          <xdr:rowOff>165100</xdr:rowOff>
        </xdr:from>
        <xdr:to>
          <xdr:col>3</xdr:col>
          <xdr:colOff>577850</xdr:colOff>
          <xdr:row>5</xdr:row>
          <xdr:rowOff>177800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39</xdr:row>
          <xdr:rowOff>177800</xdr:rowOff>
        </xdr:from>
        <xdr:to>
          <xdr:col>3</xdr:col>
          <xdr:colOff>584200</xdr:colOff>
          <xdr:row>40</xdr:row>
          <xdr:rowOff>171450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565150</xdr:colOff>
          <xdr:row>9</xdr:row>
          <xdr:rowOff>177800</xdr:rowOff>
        </xdr:from>
        <xdr:to>
          <xdr:col>3</xdr:col>
          <xdr:colOff>558800</xdr:colOff>
          <xdr:row>10</xdr:row>
          <xdr:rowOff>184150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14</xdr:row>
          <xdr:rowOff>177800</xdr:rowOff>
        </xdr:from>
        <xdr:to>
          <xdr:col>3</xdr:col>
          <xdr:colOff>590550</xdr:colOff>
          <xdr:row>15</xdr:row>
          <xdr:rowOff>171450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24</xdr:row>
          <xdr:rowOff>190500</xdr:rowOff>
        </xdr:from>
        <xdr:to>
          <xdr:col>3</xdr:col>
          <xdr:colOff>577850</xdr:colOff>
          <xdr:row>25</xdr:row>
          <xdr:rowOff>184150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30</xdr:row>
          <xdr:rowOff>0</xdr:rowOff>
        </xdr:from>
        <xdr:to>
          <xdr:col>3</xdr:col>
          <xdr:colOff>558800</xdr:colOff>
          <xdr:row>30</xdr:row>
          <xdr:rowOff>165100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615950</xdr:colOff>
          <xdr:row>35</xdr:row>
          <xdr:rowOff>0</xdr:rowOff>
        </xdr:from>
        <xdr:to>
          <xdr:col>3</xdr:col>
          <xdr:colOff>590550</xdr:colOff>
          <xdr:row>35</xdr:row>
          <xdr:rowOff>165100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635000</xdr:colOff>
          <xdr:row>19</xdr:row>
          <xdr:rowOff>158750</xdr:rowOff>
        </xdr:from>
        <xdr:to>
          <xdr:col>3</xdr:col>
          <xdr:colOff>584200</xdr:colOff>
          <xdr:row>20</xdr:row>
          <xdr:rowOff>177800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165100</xdr:rowOff>
        </xdr:from>
        <xdr:to>
          <xdr:col>9</xdr:col>
          <xdr:colOff>0</xdr:colOff>
          <xdr:row>19</xdr:row>
          <xdr:rowOff>177800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22</xdr:row>
          <xdr:rowOff>12700</xdr:rowOff>
        </xdr:from>
        <xdr:to>
          <xdr:col>0</xdr:col>
          <xdr:colOff>1873250</xdr:colOff>
          <xdr:row>23</xdr:row>
          <xdr:rowOff>171450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NZ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177800</xdr:rowOff>
        </xdr:from>
        <xdr:to>
          <xdr:col>0</xdr:col>
          <xdr:colOff>1873250</xdr:colOff>
          <xdr:row>21</xdr:row>
          <xdr:rowOff>139700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army and send to setup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12700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Defences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Defences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596900</xdr:colOff>
          <xdr:row>4</xdr:row>
          <xdr:rowOff>165100</xdr:rowOff>
        </xdr:from>
        <xdr:to>
          <xdr:col>3</xdr:col>
          <xdr:colOff>577850</xdr:colOff>
          <xdr:row>5</xdr:row>
          <xdr:rowOff>177800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39</xdr:row>
          <xdr:rowOff>177800</xdr:rowOff>
        </xdr:from>
        <xdr:to>
          <xdr:col>3</xdr:col>
          <xdr:colOff>584200</xdr:colOff>
          <xdr:row>40</xdr:row>
          <xdr:rowOff>171450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565150</xdr:colOff>
          <xdr:row>9</xdr:row>
          <xdr:rowOff>177800</xdr:rowOff>
        </xdr:from>
        <xdr:to>
          <xdr:col>3</xdr:col>
          <xdr:colOff>558800</xdr:colOff>
          <xdr:row>10</xdr:row>
          <xdr:rowOff>184150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14</xdr:row>
          <xdr:rowOff>177800</xdr:rowOff>
        </xdr:from>
        <xdr:to>
          <xdr:col>3</xdr:col>
          <xdr:colOff>590550</xdr:colOff>
          <xdr:row>15</xdr:row>
          <xdr:rowOff>171450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24</xdr:row>
          <xdr:rowOff>190500</xdr:rowOff>
        </xdr:from>
        <xdr:to>
          <xdr:col>3</xdr:col>
          <xdr:colOff>577850</xdr:colOff>
          <xdr:row>25</xdr:row>
          <xdr:rowOff>184150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30</xdr:row>
          <xdr:rowOff>0</xdr:rowOff>
        </xdr:from>
        <xdr:to>
          <xdr:col>3</xdr:col>
          <xdr:colOff>558800</xdr:colOff>
          <xdr:row>30</xdr:row>
          <xdr:rowOff>165100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615950</xdr:colOff>
          <xdr:row>35</xdr:row>
          <xdr:rowOff>0</xdr:rowOff>
        </xdr:from>
        <xdr:to>
          <xdr:col>3</xdr:col>
          <xdr:colOff>590550</xdr:colOff>
          <xdr:row>35</xdr:row>
          <xdr:rowOff>165100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squad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</xdr:row>
          <xdr:rowOff>184150</xdr:rowOff>
        </xdr:from>
        <xdr:to>
          <xdr:col>0</xdr:col>
          <xdr:colOff>1212850</xdr:colOff>
          <xdr:row>8</xdr:row>
          <xdr:rowOff>12700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</xdr:row>
          <xdr:rowOff>184150</xdr:rowOff>
        </xdr:from>
        <xdr:to>
          <xdr:col>0</xdr:col>
          <xdr:colOff>1212850</xdr:colOff>
          <xdr:row>8</xdr:row>
          <xdr:rowOff>12700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</xdr:row>
          <xdr:rowOff>184150</xdr:rowOff>
        </xdr:from>
        <xdr:to>
          <xdr:col>0</xdr:col>
          <xdr:colOff>1212850</xdr:colOff>
          <xdr:row>8</xdr:row>
          <xdr:rowOff>12700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12700</xdr:rowOff>
        </xdr:from>
        <xdr:to>
          <xdr:col>4</xdr:col>
          <xdr:colOff>279400</xdr:colOff>
          <xdr:row>1</xdr:row>
          <xdr:rowOff>95250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data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0</xdr:row>
          <xdr:rowOff>12700</xdr:rowOff>
        </xdr:from>
        <xdr:to>
          <xdr:col>8</xdr:col>
          <xdr:colOff>279400</xdr:colOff>
          <xdr:row>1</xdr:row>
          <xdr:rowOff>88900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cards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158750</xdr:rowOff>
        </xdr:from>
        <xdr:to>
          <xdr:col>1</xdr:col>
          <xdr:colOff>50800</xdr:colOff>
          <xdr:row>4</xdr:row>
          <xdr:rowOff>31750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501651</xdr:colOff>
      <xdr:row>7</xdr:row>
      <xdr:rowOff>7143</xdr:rowOff>
    </xdr:from>
    <xdr:to>
      <xdr:col>5</xdr:col>
      <xdr:colOff>95251</xdr:colOff>
      <xdr:row>13</xdr:row>
      <xdr:rowOff>31750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0451" y="1308893"/>
          <a:ext cx="812800" cy="1129507"/>
        </a:xfrm>
        <a:prstGeom prst="rect">
          <a:avLst/>
        </a:prstGeom>
      </xdr:spPr>
    </xdr:pic>
    <xdr:clientData/>
  </xdr:twoCellAnchor>
  <xdr:twoCellAnchor editAs="oneCell">
    <xdr:from>
      <xdr:col>11</xdr:col>
      <xdr:colOff>393699</xdr:colOff>
      <xdr:row>5</xdr:row>
      <xdr:rowOff>101600</xdr:rowOff>
    </xdr:from>
    <xdr:to>
      <xdr:col>13</xdr:col>
      <xdr:colOff>57150</xdr:colOff>
      <xdr:row>11</xdr:row>
      <xdr:rowOff>161477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9198" t="9162" r="35419" b="8334"/>
        <a:stretch/>
      </xdr:blipFill>
      <xdr:spPr>
        <a:xfrm rot="5400000">
          <a:off x="862236" y="1163413"/>
          <a:ext cx="1164777" cy="88265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6</xdr:col>
          <xdr:colOff>0</xdr:colOff>
          <xdr:row>1</xdr:row>
          <xdr:rowOff>171450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re-compile lists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7" name="Table17" displayName="Table17" ref="A27:C31" totalsRowShown="0">
  <autoFilter ref="A27:C31"/>
  <tableColumns count="3">
    <tableColumn id="1" name="Column1"/>
    <tableColumn id="2" name="Column2"/>
    <tableColumn id="3" name="Column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3" name="Table23" displayName="Table23" ref="F5:H7" totalsRowShown="0">
  <autoFilter ref="F5:H7"/>
  <tableColumns count="3">
    <tableColumn id="1" name="Column1"/>
    <tableColumn id="2" name="Column2"/>
    <tableColumn id="3" name="Column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5" name="Table1736" displayName="Table1736" ref="A27:C31" totalsRowShown="0">
  <autoFilter ref="A27:C31"/>
  <tableColumns count="3">
    <tableColumn id="1" name="Column1"/>
    <tableColumn id="2" name="Column2"/>
    <tableColumn id="3" name="Column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6" name="Table2337" displayName="Table2337" ref="F5:H7" totalsRowShown="0">
  <autoFilter ref="F5:H7"/>
  <tableColumns count="3">
    <tableColumn id="1" name="Column1"/>
    <tableColumn id="2" name="Column2"/>
    <tableColumn id="3" name="Column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7" name="Table1738" displayName="Table1738" ref="A27:C31" totalsRowShown="0">
  <autoFilter ref="A27:C31"/>
  <tableColumns count="3">
    <tableColumn id="1" name="Column1"/>
    <tableColumn id="2" name="Column2"/>
    <tableColumn id="3" name="Column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8" name="Table2339" displayName="Table2339" ref="F5:H7" totalsRowShown="0">
  <autoFilter ref="F5:H7"/>
  <tableColumns count="3">
    <tableColumn id="1" name="Column1"/>
    <tableColumn id="2" name="Column2"/>
    <tableColumn id="3" name="Column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9" name="Table19" displayName="Table19" ref="E31:H39" headerRowCount="0" totalsRowShown="0">
  <tableColumns count="4">
    <tableColumn id="9" name="Column1"/>
    <tableColumn id="3" name="Column3"/>
    <tableColumn id="4" name="Column4"/>
    <tableColumn id="5" name="Column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0" name="Table20" displayName="Table20" ref="C32:D37" headerRowCount="0" totalsRowShown="0">
  <tableColumns count="2">
    <tableColumn id="1" name="deployment"/>
    <tableColumn id="2" name="2" headerRowDxfId="15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1" name="Table21" displayName="Table21" ref="I32:J37" headerRowCount="0" totalsRowShown="0">
  <tableColumns count="2">
    <tableColumn id="1" name="objective style"/>
    <tableColumn id="2" name="4" headerRowDxfId="15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2" name="Table22" displayName="Table22" ref="K32:N39" headerRowCount="0" totalsRowShown="0">
  <tableColumns count="4">
    <tableColumn id="1" name="objective count" dataDxfId="150"/>
    <tableColumn id="2" name="1"/>
    <tableColumn id="3" name="Column2"/>
    <tableColumn id="4" name="Column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4" name="Table24" displayName="Table24" ref="O32:P39" headerRowCount="0" totalsRowShown="0">
  <tableColumns count="2">
    <tableColumn id="1" name="Column1"/>
    <tableColumn id="2" name="Column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5" name="Table25" displayName="Table25" ref="Q31:R39" headerRowCount="0" totalsRowShown="0">
  <tableColumns count="2">
    <tableColumn id="1" name="Column1"/>
    <tableColumn id="2" name="Column2" headerRowDxfId="14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6" name="Table26" displayName="Table26" ref="I39:J41" headerRowCount="0" totalsRowShown="0">
  <tableColumns count="2">
    <tableColumn id="1" name="Column1"/>
    <tableColumn id="2" name="Column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8" name="tblunits" displayName="tblunits" ref="A1:E1057" totalsRowShown="0">
  <autoFilter ref="A1:E1057"/>
  <tableColumns count="5">
    <tableColumn id="1" name="nation"/>
    <tableColumn id="2" name="division"/>
    <tableColumn id="3" name="squadtype"/>
    <tableColumn id="4" name="unitname" dataDxfId="148">
      <calculatedColumnFormula>'unit calc'!A32</calculatedColumnFormula>
    </tableColumn>
    <tableColumn id="5" name="Column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assetteams" displayName="assetteams" ref="A39:H53" totalsRowShown="0" headerRowDxfId="147" dataDxfId="146">
  <autoFilter ref="A39:H53"/>
  <tableColumns count="8">
    <tableColumn id="8" name="Column3" dataDxfId="145">
      <calculatedColumnFormula>assetteams[[#This Row],[Column1]]&amp;"_"&amp;OFFSET(assetteams[[#This Row],[Column3]],0,Battle_group!#REF!)&amp;""</calculatedColumnFormula>
    </tableColumn>
    <tableColumn id="1" name="Column1" dataDxfId="144"/>
    <tableColumn id="2" name="Column2" dataDxfId="143"/>
    <tableColumn id="3" name="conscript" dataDxfId="142"/>
    <tableColumn id="4" name="trained" dataDxfId="141"/>
    <tableColumn id="5" name="experianced" dataDxfId="140"/>
    <tableColumn id="6" name="veteran" dataDxfId="139"/>
    <tableColumn id="7" name="munitions" dataDxfId="13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2" name="standardsquads" displayName="standardsquads" ref="A31:H36" totalsRowShown="0" headerRowDxfId="137" tableBorderDxfId="136">
  <autoFilter ref="A31:H36"/>
  <tableColumns count="8">
    <tableColumn id="8" name="Column3" dataDxfId="135">
      <calculatedColumnFormula>standardsquads[[#This Row],[Column1]]&amp;"_"&amp;OFFSET(standardsquads[[#This Row],[Column3]],0,Battle_group!#REF!)&amp;""</calculatedColumnFormula>
    </tableColumn>
    <tableColumn id="1" name="Column1"/>
    <tableColumn id="2" name="Column2"/>
    <tableColumn id="3" name="conscript"/>
    <tableColumn id="4" name="trained"/>
    <tableColumn id="5" name="experianced"/>
    <tableColumn id="6" name="veteran"/>
    <tableColumn id="7" name="munition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4" name="uncrewedvehicles" displayName="uncrewedvehicles" ref="A56:H62" totalsRowShown="0" tableBorderDxfId="134">
  <autoFilter ref="A56:H62"/>
  <tableColumns count="8">
    <tableColumn id="8" name="Column3" dataDxfId="133">
      <calculatedColumnFormula>uncrewedvehicles[[#This Row],[Column1]]&amp;"_"&amp;OFFSET(uncrewedvehicles[[#This Row],[Column3]],0,Battle_group!#REF!)&amp;""</calculatedColumnFormula>
    </tableColumn>
    <tableColumn id="1" name="Column1"/>
    <tableColumn id="2" name="Column2"/>
    <tableColumn id="3" name="conscript"/>
    <tableColumn id="4" name="trained"/>
    <tableColumn id="5" name="experianced"/>
    <tableColumn id="6" name="veteran"/>
    <tableColumn id="7" name="nam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5" name="upgrades" displayName="upgrades" ref="A123:G125" totalsRowShown="0">
  <autoFilter ref="A123:G125"/>
  <tableColumns count="7">
    <tableColumn id="7" name="Column7" dataDxfId="132">
      <calculatedColumnFormula>upgrades[[#This Row],[Column1]]&amp;"_"&amp;OFFSET(upgrades[[#This Row],[Column7]],0,Battle_group!#REF!)&amp;""</calculatedColumnFormula>
    </tableColumn>
    <tableColumn id="1" name="Column1"/>
    <tableColumn id="2" name="Column2"/>
    <tableColumn id="3" name="conscript"/>
    <tableColumn id="4" name="trained"/>
    <tableColumn id="5" name="experianced"/>
    <tableColumn id="6" name="vetera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6" name="assetsquads" displayName="assetsquads" ref="A128:H142" totalsRowShown="0" headerRowDxfId="131">
  <autoFilter ref="A128:H142"/>
  <tableColumns count="8">
    <tableColumn id="8" name="Column3" dataDxfId="130">
      <calculatedColumnFormula>assetsquads[[#This Row],[Column1]]&amp;"_"&amp;OFFSET(assetsquads[[#This Row],[Column3]],0,Battle_group!#REF!)&amp;""</calculatedColumnFormula>
    </tableColumn>
    <tableColumn id="1" name="Column1"/>
    <tableColumn id="2" name="Column2"/>
    <tableColumn id="3" name="conscript"/>
    <tableColumn id="4" name="trained"/>
    <tableColumn id="5" name="experianced"/>
    <tableColumn id="6" name="veteran"/>
    <tableColumn id="7" name="munition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0" name="crewedtanks" displayName="crewedtanks" ref="A65:G121" totalsRowShown="0" tableBorderDxfId="129">
  <autoFilter ref="A65:G121"/>
  <tableColumns count="7">
    <tableColumn id="7" name="Column3" dataDxfId="128">
      <calculatedColumnFormula>crewedtanks[[#This Row],[Column1]]&amp;"_"&amp;OFFSET(crewedtanks[[#This Row],[Column3]],0,Battle_group!#REF!)&amp;""</calculatedColumnFormula>
    </tableColumn>
    <tableColumn id="1" name="Column1">
      <calculatedColumnFormula>K66</calculatedColumnFormula>
    </tableColumn>
    <tableColumn id="2" name="Column2"/>
    <tableColumn id="3" name="conscript" dataDxfId="127">
      <calculatedColumnFormula>MROUND(AE66,1)</calculatedColumnFormula>
    </tableColumn>
    <tableColumn id="4" name="trained" dataDxfId="126">
      <calculatedColumnFormula>AF66</calculatedColumnFormula>
    </tableColumn>
    <tableColumn id="5" name="experianced" dataDxfId="125">
      <calculatedColumnFormula>MROUND(AG66,1)</calculatedColumnFormula>
    </tableColumn>
    <tableColumn id="6" name="veteran" dataDxfId="124">
      <calculatedColumnFormula>MROUND(AH66,1)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" name="individualunitbasecost" displayName="individualunitbasecost" ref="B15:G28" totalsRowShown="0" headerRowDxfId="123" dataDxfId="122" tableBorderDxfId="121">
  <autoFilter ref="B15:G28"/>
  <tableColumns count="6">
    <tableColumn id="1" name="Column1" dataDxfId="120"/>
    <tableColumn id="2" name="Column2" dataDxfId="119"/>
    <tableColumn id="3" name="cons" dataDxfId="118"/>
    <tableColumn id="4" name="tra" dataDxfId="117"/>
    <tableColumn id="5" name="exp" dataDxfId="116"/>
    <tableColumn id="6" name="vet" dataDxfId="115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6" name="specialforces" displayName="specialforces" ref="A232:G238" totalsRowShown="0" headerRowDxfId="114" tableBorderDxfId="113">
  <autoFilter ref="A232:G238"/>
  <tableColumns count="7">
    <tableColumn id="6" name="Column6" dataDxfId="112"/>
    <tableColumn id="1" name="Column1"/>
    <tableColumn id="7" name="Column12"/>
    <tableColumn id="2" name="conscript" dataDxfId="111">
      <calculatedColumnFormula>D22</calculatedColumnFormula>
    </tableColumn>
    <tableColumn id="3" name="trained" dataDxfId="110">
      <calculatedColumnFormula>E22</calculatedColumnFormula>
    </tableColumn>
    <tableColumn id="4" name="experianced" dataDxfId="109">
      <calculatedColumnFormula>F22</calculatedColumnFormula>
    </tableColumn>
    <tableColumn id="5" name="veteran" dataDxfId="108">
      <calculatedColumnFormula>G22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7" name="specialforcesassetteams" displayName="specialforcesassetteams" ref="A240:G247" totalsRowShown="0" headerRowDxfId="107" tableBorderDxfId="106">
  <autoFilter ref="A240:G247"/>
  <tableColumns count="7">
    <tableColumn id="6" name="Column6" dataDxfId="105">
      <calculatedColumnFormula>specialforcesassetteams[[#This Row],[Column1]]&amp;"_"&amp;OFFSET(specialforcesassetteams[[#This Row],[Column12]],0,'SF1'!$C$2-2)&amp;""</calculatedColumnFormula>
    </tableColumn>
    <tableColumn id="1" name="Column1" dataDxfId="104"/>
    <tableColumn id="7" name="Column12" dataDxfId="103"/>
    <tableColumn id="2" name="conscript" dataDxfId="102">
      <calculatedColumnFormula>D40</calculatedColumnFormula>
    </tableColumn>
    <tableColumn id="3" name="trained" dataDxfId="101">
      <calculatedColumnFormula>E40</calculatedColumnFormula>
    </tableColumn>
    <tableColumn id="4" name="experianced" dataDxfId="100">
      <calculatedColumnFormula>F40</calculatedColumnFormula>
    </tableColumn>
    <tableColumn id="5" name="veteran" dataDxfId="99">
      <calculatedColumnFormula>G40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" name="tankscalculator" displayName="tankscalculator" ref="K65:AB121" totalsRowShown="0" headerRowBorderDxfId="98" tableBorderDxfId="97">
  <autoFilter ref="K65:AB121"/>
  <tableColumns count="18">
    <tableColumn id="3" name="Tank" dataDxfId="96"/>
    <tableColumn id="4" name="AP" dataDxfId="95"/>
    <tableColumn id="5" name="F.E" dataDxfId="94"/>
    <tableColumn id="6" name="range" dataDxfId="93"/>
    <tableColumn id="7" name="HE" dataDxfId="92"/>
    <tableColumn id="8" name="A Front" dataDxfId="91"/>
    <tableColumn id="9" name="A Side" dataDxfId="90"/>
    <tableColumn id="10" name="A Rear" dataDxfId="89"/>
    <tableColumn id="11" name="movement" dataDxfId="88"/>
    <tableColumn id="12" name="MG" dataDxfId="87"/>
    <tableColumn id="13" name="crewed" dataDxfId="86"/>
    <tableColumn id="14" name="transport" dataDxfId="85"/>
    <tableColumn id="2" name="fixed turret"/>
    <tableColumn id="1" name="open topped"/>
    <tableColumn id="19" name="weight class" dataDxfId="84"/>
    <tableColumn id="18" name="army" dataDxfId="83"/>
    <tableColumn id="20" name="main gun" dataDxfId="82"/>
    <tableColumn id="15" name="points" dataDxfId="81">
      <calculatedColumnFormula>MROUND(AD66,5)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3" name="uncrewedvehiclecaculator" displayName="uncrewedvehiclecaculator" ref="K56:AB61" totalsRowShown="0" headerRowBorderDxfId="80" tableBorderDxfId="79">
  <autoFilter ref="K56:AB61"/>
  <tableColumns count="18">
    <tableColumn id="3" name="vehicle" dataDxfId="78"/>
    <tableColumn id="4" name="AP" dataDxfId="77"/>
    <tableColumn id="5" name="F.E" dataDxfId="76"/>
    <tableColumn id="6" name="range" dataDxfId="75"/>
    <tableColumn id="7" name="HE" dataDxfId="74"/>
    <tableColumn id="8" name="A Front" dataDxfId="73"/>
    <tableColumn id="9" name="A Side" dataDxfId="72"/>
    <tableColumn id="10" name="A Rear" dataDxfId="71"/>
    <tableColumn id="11" name="movement" dataDxfId="70"/>
    <tableColumn id="12" name="MG" dataDxfId="69"/>
    <tableColumn id="13" name="crewed" dataDxfId="68"/>
    <tableColumn id="14" name="transport" dataDxfId="67"/>
    <tableColumn id="2" name="fixed turrt" dataDxfId="66"/>
    <tableColumn id="1" name="open topped" dataDxfId="65"/>
    <tableColumn id="18" name="weight class" dataDxfId="64"/>
    <tableColumn id="19" name="army2" dataDxfId="63"/>
    <tableColumn id="16" name="Column1" dataDxfId="62"/>
    <tableColumn id="15" name="points" dataDxfId="61">
      <calculatedColumnFormula>MROUND(AD57,1)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4" name="feildgunassets" displayName="feildgunassets" ref="A165:G193" totalsRowShown="0">
  <autoFilter ref="A165:G193"/>
  <tableColumns count="7">
    <tableColumn id="1" name="Column6" dataDxfId="60">
      <calculatedColumnFormula>feildgunassets[[#This Row],[Column1]]&amp;"_"&amp;OFFSET(feildgunassets[[#This Row],[Column6]],0,Battle_group!#REF!)&amp;""</calculatedColumnFormula>
    </tableColumn>
    <tableColumn id="2" name="Column1">
      <calculatedColumnFormula>feildgunscalculator[[#This Row],[gun]]</calculatedColumnFormula>
    </tableColumn>
    <tableColumn id="3" name="make up"/>
    <tableColumn id="4" name="conscript" dataDxfId="59">
      <calculatedColumnFormula>feildgunscalculator[[#This Row],[conscript]]+$D$27+(3*$D$22)</calculatedColumnFormula>
    </tableColumn>
    <tableColumn id="5" name="trained" dataDxfId="58">
      <calculatedColumnFormula>feildgunscalculator[[#This Row],[trained]]+$E$27+(3*$E$22)</calculatedColumnFormula>
    </tableColumn>
    <tableColumn id="6" name="experianced" dataDxfId="57">
      <calculatedColumnFormula>feildgunscalculator[[#This Row],[experianced]]+$F$27+(3*$F$22)</calculatedColumnFormula>
    </tableColumn>
    <tableColumn id="7" name="veteran" dataDxfId="56">
      <calculatedColumnFormula>feildgunscalculator[[#This Row],[veteran]]+$G$27+(3*$G$22)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3" name="feildgunscalculator" displayName="feildgunscalculator" ref="K165:V192" totalsRowShown="0" dataDxfId="55">
  <autoFilter ref="K165:V192"/>
  <tableColumns count="12">
    <tableColumn id="1" name="gun" dataDxfId="54"/>
    <tableColumn id="2" name="AP" dataDxfId="53"/>
    <tableColumn id="3" name="AUTO" dataDxfId="52"/>
    <tableColumn id="4" name="HE" dataDxfId="51"/>
    <tableColumn id="5" name="range" dataDxfId="50"/>
    <tableColumn id="6" name="weight" dataDxfId="49"/>
    <tableColumn id="18" name="Nation" dataDxfId="48"/>
    <tableColumn id="19" name="calc" dataDxfId="47">
      <calculatedColumnFormula>(feildgunscalculator[[#This Row],[AP]]*feildgunscalculator[[#This Row],[AP]]+feildgunscalculator[[#This Row],[AUTO]])+(feildgunscalculator[[#This Row],[range]]/2)</calculatedColumnFormula>
    </tableColumn>
    <tableColumn id="20" name="conscript" dataDxfId="46">
      <calculatedColumnFormula>MROUND(X166,1)</calculatedColumnFormula>
    </tableColumn>
    <tableColumn id="21" name="trained" dataDxfId="45">
      <calculatedColumnFormula>MROUND(Y166,1)</calculatedColumnFormula>
    </tableColumn>
    <tableColumn id="22" name="experianced" dataDxfId="44">
      <calculatedColumnFormula>MROUND(Z166,1)</calculatedColumnFormula>
    </tableColumn>
    <tableColumn id="23" name="veteran" dataDxfId="43">
      <calculatedColumnFormula>MROUND(AA166,1)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8" name="feildgunsquads" displayName="feildgunsquads" ref="A195:G223" totalsRowShown="0">
  <autoFilter ref="A195:G223"/>
  <tableColumns count="7">
    <tableColumn id="1" name="Column6" dataDxfId="42">
      <calculatedColumnFormula>feildgunsquads[[#This Row],[Column1]]&amp;"_"&amp;OFFSET(feildgunsquads[[#This Row],[Column6]],0,Battle_group!#REF!)&amp;""</calculatedColumnFormula>
    </tableColumn>
    <tableColumn id="2" name="Column1">
      <calculatedColumnFormula>feildgunscalculator[[#This Row],[gun]]</calculatedColumnFormula>
    </tableColumn>
    <tableColumn id="3" name="make up"/>
    <tableColumn id="4" name="conscript" dataDxfId="41">
      <calculatedColumnFormula>feildgunscalculator[[#This Row],[conscript]]+$D$27+(3*$D$22)</calculatedColumnFormula>
    </tableColumn>
    <tableColumn id="5" name="trained" dataDxfId="40">
      <calculatedColumnFormula>feildgunscalculator[[#This Row],[trained]]+$E$27+(3*$E$22)</calculatedColumnFormula>
    </tableColumn>
    <tableColumn id="6" name="experianced" dataDxfId="39">
      <calculatedColumnFormula>feildgunscalculator[[#This Row],[experianced]]+$F$27+(3*$F$22)</calculatedColumnFormula>
    </tableColumn>
    <tableColumn id="7" name="veteran" dataDxfId="38">
      <calculatedColumnFormula>feildgunscalculator[[#This Row],[veteran]]+$G$27+(3*$G$22)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9" name="nations" displayName="nations" ref="L24:L31" totalsRowShown="0" headerRowDxfId="37">
  <autoFilter ref="L24:L31"/>
  <tableColumns count="1">
    <tableColumn id="1" name="Nations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0" name="veterancy" displayName="veterancy" ref="L32:L37" totalsRowShown="0" headerRowDxfId="36">
  <autoFilter ref="L32:L37"/>
  <tableColumns count="1">
    <tableColumn id="1" name="Veterancy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1" name="engagementstance" displayName="engagementstance" ref="L38:L42" totalsRowShown="0" headerRowDxfId="35">
  <autoFilter ref="L38:L42"/>
  <tableColumns count="1">
    <tableColumn id="1" name="engagement stanc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4" name="built_SF" displayName="built_SF" ref="A225:G229" totalsRowShown="0">
  <autoFilter ref="A225:G229"/>
  <tableColumns count="7">
    <tableColumn id="1" name="Column1" dataDxfId="34">
      <calculatedColumnFormula>#REF!</calculatedColumnFormula>
    </tableColumn>
    <tableColumn id="2" name="Column2"/>
    <tableColumn id="3" name="Column3" dataDxfId="33">
      <calculatedColumnFormula>'SF1'!H6</calculatedColumnFormula>
    </tableColumn>
    <tableColumn id="4" name="Column4"/>
    <tableColumn id="5" name="Column5"/>
    <tableColumn id="6" name="Column6"/>
    <tableColumn id="7" name="Column7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" name="Table1" displayName="Table1" ref="L43:L48" totalsRowShown="0" headerRowDxfId="32">
  <autoFilter ref="L43:L48"/>
  <tableColumns count="1">
    <tableColumn id="1" name="divisions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40" name="specialforces41" displayName="specialforces41" ref="A250:G256" totalsRowShown="0" headerRowDxfId="31" tableBorderDxfId="30">
  <autoFilter ref="A250:G256"/>
  <tableColumns count="7">
    <tableColumn id="6" name="Column6" dataDxfId="29"/>
    <tableColumn id="1" name="Column1"/>
    <tableColumn id="7" name="Column12"/>
    <tableColumn id="2" name="conscript" dataDxfId="28">
      <calculatedColumnFormula>D40</calculatedColumnFormula>
    </tableColumn>
    <tableColumn id="3" name="trained" dataDxfId="27">
      <calculatedColumnFormula>E40</calculatedColumnFormula>
    </tableColumn>
    <tableColumn id="4" name="experianced" dataDxfId="26">
      <calculatedColumnFormula>F40</calculatedColumnFormula>
    </tableColumn>
    <tableColumn id="5" name="veteran" dataDxfId="25">
      <calculatedColumnFormula>G40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41" name="specialforcesassetteams42" displayName="specialforcesassetteams42" ref="A258:G265" totalsRowShown="0" headerRowDxfId="24" tableBorderDxfId="23">
  <autoFilter ref="A258:G265"/>
  <tableColumns count="7">
    <tableColumn id="6" name="Column6" dataDxfId="22">
      <calculatedColumnFormula>specialforcesassetteams42[[#This Row],[Column1]]&amp;"_"&amp;OFFSET(specialforcesassetteams42[[#This Row],[Column12]],0,'SF1'!$C$2-2)&amp;""</calculatedColumnFormula>
    </tableColumn>
    <tableColumn id="1" name="Column1" dataDxfId="21"/>
    <tableColumn id="7" name="Column12" dataDxfId="20"/>
    <tableColumn id="2" name="conscript" dataDxfId="19">
      <calculatedColumnFormula>D58</calculatedColumnFormula>
    </tableColumn>
    <tableColumn id="3" name="trained" dataDxfId="18">
      <calculatedColumnFormula>E58</calculatedColumnFormula>
    </tableColumn>
    <tableColumn id="4" name="experianced" dataDxfId="17">
      <calculatedColumnFormula>F58</calculatedColumnFormula>
    </tableColumn>
    <tableColumn id="5" name="veteran" dataDxfId="16">
      <calculatedColumnFormula>G58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42" name="specialforces43" displayName="specialforces43" ref="A268:G274" totalsRowShown="0" headerRowDxfId="15" tableBorderDxfId="14">
  <autoFilter ref="A268:G274"/>
  <tableColumns count="7">
    <tableColumn id="6" name="Column6" dataDxfId="13"/>
    <tableColumn id="1" name="Column1"/>
    <tableColumn id="7" name="Column12"/>
    <tableColumn id="2" name="conscript" dataDxfId="12">
      <calculatedColumnFormula>D58</calculatedColumnFormula>
    </tableColumn>
    <tableColumn id="3" name="trained" dataDxfId="11">
      <calculatedColumnFormula>E58</calculatedColumnFormula>
    </tableColumn>
    <tableColumn id="4" name="experianced" dataDxfId="10">
      <calculatedColumnFormula>F58</calculatedColumnFormula>
    </tableColumn>
    <tableColumn id="5" name="veteran" dataDxfId="9">
      <calculatedColumnFormula>G58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43" name="specialforcesassetteams44" displayName="specialforcesassetteams44" ref="A276:G283" totalsRowShown="0" headerRowDxfId="8" tableBorderDxfId="7">
  <autoFilter ref="A276:G283"/>
  <tableColumns count="7">
    <tableColumn id="6" name="Column6" dataDxfId="6">
      <calculatedColumnFormula>specialforcesassetteams44[[#This Row],[Column1]]&amp;"_"&amp;OFFSET(specialforcesassetteams44[[#This Row],[Column12]],0,'SF1'!$C$2-2)&amp;""</calculatedColumnFormula>
    </tableColumn>
    <tableColumn id="1" name="Column1" dataDxfId="5"/>
    <tableColumn id="7" name="Column12" dataDxfId="4"/>
    <tableColumn id="2" name="conscript" dataDxfId="3">
      <calculatedColumnFormula>D76</calculatedColumnFormula>
    </tableColumn>
    <tableColumn id="3" name="trained" dataDxfId="2">
      <calculatedColumnFormula>E76</calculatedColumnFormula>
    </tableColumn>
    <tableColumn id="4" name="experianced" dataDxfId="1">
      <calculatedColumnFormula>F76</calculatedColumnFormula>
    </tableColumn>
    <tableColumn id="5" name="veteran" dataDxfId="0">
      <calculatedColumnFormula>G76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5" Type="http://schemas.openxmlformats.org/officeDocument/2006/relationships/ctrlProp" Target="../ctrlProps/ctrlProp2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ctrlProp" Target="../ctrlProps/ctrlProp4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13" Type="http://schemas.openxmlformats.org/officeDocument/2006/relationships/ctrlProp" Target="../ctrlProps/ctrlProp5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5" Type="http://schemas.openxmlformats.org/officeDocument/2006/relationships/ctrlProp" Target="../ctrlProps/ctrlProp5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Relationship Id="rId14" Type="http://schemas.openxmlformats.org/officeDocument/2006/relationships/ctrlProp" Target="../ctrlProps/ctrlProp5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table" Target="../tables/table2.xml"/><Relationship Id="rId2" Type="http://schemas.openxmlformats.org/officeDocument/2006/relationships/printerSettings" Target="../printerSettings/printerSettings7.bin"/><Relationship Id="rId1" Type="http://schemas.openxmlformats.org/officeDocument/2006/relationships/externalLinkPath" Target="file:///C:\Users\OEM\OneDrive\Desktop\fire%20team%201942\army%20building%20app%20v6.9.3%20%20(tims%20lists).xlsm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54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C:\Users\OEM\OneDrive\Desktop\fire%20team%201942\army%20building%20app%20v6.9.3%20%20(tims%20lists).xlsm" TargetMode="External"/><Relationship Id="rId6" Type="http://schemas.openxmlformats.org/officeDocument/2006/relationships/table" Target="../tables/table3.xml"/><Relationship Id="rId5" Type="http://schemas.openxmlformats.org/officeDocument/2006/relationships/ctrlProp" Target="../ctrlProps/ctrlProp55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9.bin"/><Relationship Id="rId1" Type="http://schemas.openxmlformats.org/officeDocument/2006/relationships/externalLinkPath" Target="file:///C:\Users\OEM\OneDrive\Desktop\fire%20team%201942\army%20building%20app%20v6.9.3%20%20(tims%20lists).xlsm" TargetMode="External"/><Relationship Id="rId6" Type="http://schemas.openxmlformats.org/officeDocument/2006/relationships/table" Target="../tables/table5.xml"/><Relationship Id="rId5" Type="http://schemas.openxmlformats.org/officeDocument/2006/relationships/ctrlProp" Target="../ctrlProps/ctrlProp56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11.vml"/><Relationship Id="rId7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ctrlProp" Target="../ctrlProps/ctrlProp59.xml"/><Relationship Id="rId9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13" Type="http://schemas.openxmlformats.org/officeDocument/2006/relationships/table" Target="../tables/table26.xml"/><Relationship Id="rId18" Type="http://schemas.openxmlformats.org/officeDocument/2006/relationships/table" Target="../tables/table31.xml"/><Relationship Id="rId3" Type="http://schemas.openxmlformats.org/officeDocument/2006/relationships/table" Target="../tables/table16.xml"/><Relationship Id="rId21" Type="http://schemas.openxmlformats.org/officeDocument/2006/relationships/table" Target="../tables/table34.xml"/><Relationship Id="rId7" Type="http://schemas.openxmlformats.org/officeDocument/2006/relationships/table" Target="../tables/table20.xml"/><Relationship Id="rId12" Type="http://schemas.openxmlformats.org/officeDocument/2006/relationships/table" Target="../tables/table25.xml"/><Relationship Id="rId17" Type="http://schemas.openxmlformats.org/officeDocument/2006/relationships/table" Target="../tables/table30.xml"/><Relationship Id="rId2" Type="http://schemas.openxmlformats.org/officeDocument/2006/relationships/table" Target="../tables/table15.xml"/><Relationship Id="rId16" Type="http://schemas.openxmlformats.org/officeDocument/2006/relationships/table" Target="../tables/table29.xml"/><Relationship Id="rId20" Type="http://schemas.openxmlformats.org/officeDocument/2006/relationships/table" Target="../tables/table3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9.xml"/><Relationship Id="rId11" Type="http://schemas.openxmlformats.org/officeDocument/2006/relationships/table" Target="../tables/table24.xml"/><Relationship Id="rId24" Type="http://schemas.openxmlformats.org/officeDocument/2006/relationships/table" Target="../tables/table37.xml"/><Relationship Id="rId5" Type="http://schemas.openxmlformats.org/officeDocument/2006/relationships/table" Target="../tables/table18.xml"/><Relationship Id="rId15" Type="http://schemas.openxmlformats.org/officeDocument/2006/relationships/table" Target="../tables/table28.xml"/><Relationship Id="rId23" Type="http://schemas.openxmlformats.org/officeDocument/2006/relationships/table" Target="../tables/table36.xml"/><Relationship Id="rId10" Type="http://schemas.openxmlformats.org/officeDocument/2006/relationships/table" Target="../tables/table23.xml"/><Relationship Id="rId19" Type="http://schemas.openxmlformats.org/officeDocument/2006/relationships/table" Target="../tables/table32.xml"/><Relationship Id="rId4" Type="http://schemas.openxmlformats.org/officeDocument/2006/relationships/table" Target="../tables/table17.xml"/><Relationship Id="rId9" Type="http://schemas.openxmlformats.org/officeDocument/2006/relationships/table" Target="../tables/table22.xml"/><Relationship Id="rId14" Type="http://schemas.openxmlformats.org/officeDocument/2006/relationships/table" Target="../tables/table27.xml"/><Relationship Id="rId22" Type="http://schemas.openxmlformats.org/officeDocument/2006/relationships/table" Target="../tables/table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200"/>
  <sheetViews>
    <sheetView tabSelected="1" zoomScale="80" zoomScaleNormal="80" workbookViewId="0">
      <selection activeCell="B7" sqref="B7"/>
    </sheetView>
  </sheetViews>
  <sheetFormatPr defaultRowHeight="14.5" x14ac:dyDescent="0.35"/>
  <cols>
    <col min="1" max="1" width="13.81640625" customWidth="1"/>
    <col min="2" max="2" width="22.90625" customWidth="1"/>
    <col min="3" max="3" width="2.453125" customWidth="1"/>
    <col min="4" max="4" width="2.36328125" customWidth="1"/>
    <col min="5" max="5" width="12.6328125" customWidth="1"/>
    <col min="6" max="6" width="17.6328125" customWidth="1"/>
    <col min="7" max="7" width="45.6328125" customWidth="1"/>
    <col min="8" max="8" width="2.1796875" customWidth="1"/>
    <col min="9" max="9" width="17.6328125" customWidth="1"/>
    <col min="14" max="14" width="6.54296875" customWidth="1"/>
    <col min="15" max="15" width="8.81640625" customWidth="1"/>
    <col min="16" max="16" width="1.81640625" customWidth="1"/>
    <col min="17" max="17" width="1.08984375" customWidth="1"/>
    <col min="18" max="18" width="2.08984375" customWidth="1"/>
    <col min="19" max="19" width="2.36328125" customWidth="1"/>
    <col min="20" max="20" width="1.54296875" customWidth="1"/>
    <col min="21" max="21" width="2.453125" customWidth="1"/>
    <col min="22" max="22" width="1.6328125" customWidth="1"/>
    <col min="25" max="25" width="1.90625" customWidth="1"/>
    <col min="26" max="26" width="1.6328125" customWidth="1"/>
    <col min="27" max="27" width="0.453125" customWidth="1"/>
    <col min="28" max="28" width="1.81640625" customWidth="1"/>
    <col min="29" max="29" width="2.54296875" customWidth="1"/>
  </cols>
  <sheetData>
    <row r="1" spans="1:30" ht="15" thickBot="1" x14ac:dyDescent="0.4">
      <c r="B1" s="278" t="s">
        <v>679</v>
      </c>
      <c r="D1" s="287"/>
      <c r="E1" s="285" t="str">
        <f ca="1">A32</f>
        <v>..0.USA.infantry.trained.0.neutral.7.1.0</v>
      </c>
      <c r="F1" s="285"/>
      <c r="G1" s="285"/>
      <c r="H1" s="285"/>
      <c r="I1" s="285"/>
      <c r="J1" s="284"/>
      <c r="W1" t="s">
        <v>672</v>
      </c>
      <c r="X1" s="274" t="s">
        <v>673</v>
      </c>
      <c r="AD1" s="274" t="s">
        <v>673</v>
      </c>
    </row>
    <row r="2" spans="1:30" ht="15" thickBot="1" x14ac:dyDescent="0.4">
      <c r="A2" t="s">
        <v>385</v>
      </c>
      <c r="B2" s="288"/>
      <c r="D2" s="287"/>
    </row>
    <row r="3" spans="1:30" ht="15" thickBot="1" x14ac:dyDescent="0.4">
      <c r="A3" t="s">
        <v>390</v>
      </c>
      <c r="B3" s="289"/>
      <c r="D3" s="287"/>
    </row>
    <row r="4" spans="1:30" ht="15" thickBot="1" x14ac:dyDescent="0.4">
      <c r="B4" s="13"/>
      <c r="D4" s="287"/>
    </row>
    <row r="5" spans="1:30" ht="15" thickBot="1" x14ac:dyDescent="0.4">
      <c r="A5" t="s">
        <v>369</v>
      </c>
      <c r="B5" s="201" t="s">
        <v>45</v>
      </c>
      <c r="D5" s="287"/>
    </row>
    <row r="6" spans="1:30" ht="15" thickBot="1" x14ac:dyDescent="0.4">
      <c r="D6" s="287"/>
    </row>
    <row r="7" spans="1:30" ht="15" thickBot="1" x14ac:dyDescent="0.4">
      <c r="A7" t="s">
        <v>370</v>
      </c>
      <c r="B7" s="201" t="s">
        <v>11</v>
      </c>
      <c r="D7" s="287"/>
    </row>
    <row r="8" spans="1:30" ht="15" thickBot="1" x14ac:dyDescent="0.4">
      <c r="A8" s="273" t="s">
        <v>634</v>
      </c>
      <c r="D8" s="287"/>
    </row>
    <row r="9" spans="1:30" ht="15" thickBot="1" x14ac:dyDescent="0.4">
      <c r="A9" t="s">
        <v>501</v>
      </c>
      <c r="B9" s="201" t="s">
        <v>31</v>
      </c>
      <c r="C9">
        <f>IF(B9="conscript",3,IF(B9="trained",4,IF(B9="experienced",5,6)))</f>
        <v>4</v>
      </c>
      <c r="D9" s="287"/>
    </row>
    <row r="10" spans="1:30" x14ac:dyDescent="0.35">
      <c r="D10" s="287"/>
    </row>
    <row r="11" spans="1:30" ht="14.5" customHeight="1" x14ac:dyDescent="0.35">
      <c r="A11" s="294" t="s">
        <v>192</v>
      </c>
      <c r="B11" s="286"/>
      <c r="D11" s="287"/>
    </row>
    <row r="12" spans="1:30" ht="15" customHeight="1" x14ac:dyDescent="0.35">
      <c r="A12" s="294"/>
      <c r="B12" s="286"/>
      <c r="D12" s="287"/>
    </row>
    <row r="13" spans="1:30" x14ac:dyDescent="0.35">
      <c r="A13" s="294"/>
      <c r="D13" s="287"/>
    </row>
    <row r="14" spans="1:30" x14ac:dyDescent="0.35">
      <c r="A14" s="295" t="s">
        <v>193</v>
      </c>
      <c r="B14" s="275"/>
      <c r="D14" s="287"/>
    </row>
    <row r="15" spans="1:30" x14ac:dyDescent="0.35">
      <c r="A15" s="295"/>
      <c r="B15" s="275"/>
      <c r="D15" s="287"/>
    </row>
    <row r="16" spans="1:30" x14ac:dyDescent="0.35">
      <c r="A16" s="295"/>
      <c r="B16" s="275"/>
      <c r="D16" s="287"/>
    </row>
    <row r="17" spans="1:4" x14ac:dyDescent="0.35">
      <c r="A17" s="296" t="s">
        <v>194</v>
      </c>
      <c r="B17" s="275"/>
      <c r="D17" s="287"/>
    </row>
    <row r="18" spans="1:4" x14ac:dyDescent="0.35">
      <c r="A18" s="296"/>
      <c r="B18" s="275"/>
      <c r="D18" s="287"/>
    </row>
    <row r="19" spans="1:4" x14ac:dyDescent="0.35">
      <c r="A19" s="296"/>
      <c r="B19" s="275"/>
      <c r="D19" s="287"/>
    </row>
    <row r="20" spans="1:4" x14ac:dyDescent="0.35">
      <c r="A20" s="297" t="s">
        <v>263</v>
      </c>
      <c r="B20" s="275"/>
      <c r="D20" s="287"/>
    </row>
    <row r="21" spans="1:4" x14ac:dyDescent="0.35">
      <c r="A21" s="297"/>
    </row>
    <row r="22" spans="1:4" x14ac:dyDescent="0.35">
      <c r="A22" s="297"/>
    </row>
    <row r="23" spans="1:4" ht="15" thickBot="1" x14ac:dyDescent="0.4"/>
    <row r="24" spans="1:4" x14ac:dyDescent="0.35">
      <c r="A24" s="97"/>
      <c r="B24" s="279">
        <f ca="1">INDIRECT("'" &amp; TEXT($B$7,"@") &amp; "'!A7")</f>
        <v>0</v>
      </c>
    </row>
    <row r="25" spans="1:4" x14ac:dyDescent="0.35">
      <c r="A25" s="76"/>
      <c r="B25" s="280">
        <f ca="1">INDIRECT("'" &amp; TEXT($B$7,"@") &amp; "'!A10")</f>
        <v>0</v>
      </c>
    </row>
    <row r="26" spans="1:4" x14ac:dyDescent="0.35">
      <c r="A26" s="76"/>
      <c r="B26" s="281" t="str">
        <f ca="1">INDIRECT("'" &amp; TEXT($B$7,"@") &amp; "'!A13")</f>
        <v>neutral</v>
      </c>
    </row>
    <row r="27" spans="1:4" x14ac:dyDescent="0.35">
      <c r="A27" s="76" t="s">
        <v>531</v>
      </c>
      <c r="B27" s="105" t="s">
        <v>633</v>
      </c>
    </row>
    <row r="28" spans="1:4" x14ac:dyDescent="0.35">
      <c r="A28" s="76" t="s">
        <v>532</v>
      </c>
      <c r="B28" s="105" t="s">
        <v>633</v>
      </c>
    </row>
    <row r="29" spans="1:4" x14ac:dyDescent="0.35">
      <c r="A29" s="282" t="s">
        <v>678</v>
      </c>
      <c r="B29" s="105"/>
    </row>
    <row r="30" spans="1:4" x14ac:dyDescent="0.35">
      <c r="A30" s="76"/>
      <c r="B30" s="105"/>
    </row>
    <row r="31" spans="1:4" ht="15" thickBot="1" x14ac:dyDescent="0.4">
      <c r="A31" s="106"/>
      <c r="B31" s="276"/>
    </row>
    <row r="32" spans="1:4" x14ac:dyDescent="0.35">
      <c r="A32" t="str">
        <f ca="1">B2&amp;"."&amp;B3&amp;"."&amp;B24&amp;"."&amp;B5&amp;"."&amp;B7&amp;"."&amp;B9&amp;"."&amp;B25&amp;"."&amp;B26&amp;"."&amp;B28&amp;""</f>
        <v>..0.USA.infantry.trained.0.neutral.7.1.0</v>
      </c>
    </row>
    <row r="36" spans="5:9" x14ac:dyDescent="0.35">
      <c r="E36" s="283"/>
      <c r="F36" s="283"/>
      <c r="G36" s="283"/>
      <c r="H36" s="283"/>
      <c r="I36" s="283"/>
    </row>
    <row r="37" spans="5:9" x14ac:dyDescent="0.35">
      <c r="E37" s="283"/>
      <c r="F37" s="283"/>
      <c r="G37" s="283"/>
      <c r="H37" s="283"/>
      <c r="I37" s="283"/>
    </row>
    <row r="38" spans="5:9" x14ac:dyDescent="0.35">
      <c r="E38" s="283"/>
      <c r="F38" s="283"/>
      <c r="G38" s="283"/>
      <c r="H38" s="283"/>
      <c r="I38" s="283"/>
    </row>
    <row r="39" spans="5:9" x14ac:dyDescent="0.35">
      <c r="E39" s="283"/>
      <c r="F39" s="283"/>
      <c r="G39" s="283"/>
      <c r="H39" s="283"/>
      <c r="I39" s="283"/>
    </row>
    <row r="40" spans="5:9" x14ac:dyDescent="0.35">
      <c r="E40" s="283"/>
      <c r="F40" s="283"/>
      <c r="G40" s="283"/>
      <c r="H40" s="283"/>
      <c r="I40" s="283"/>
    </row>
    <row r="41" spans="5:9" x14ac:dyDescent="0.35">
      <c r="E41" s="283"/>
      <c r="F41" s="283"/>
      <c r="G41" s="283"/>
      <c r="H41" s="283"/>
      <c r="I41" s="283"/>
    </row>
    <row r="42" spans="5:9" x14ac:dyDescent="0.35">
      <c r="E42" s="283"/>
      <c r="F42" s="283"/>
      <c r="G42" s="283"/>
      <c r="H42" s="283"/>
      <c r="I42" s="283"/>
    </row>
    <row r="43" spans="5:9" x14ac:dyDescent="0.35">
      <c r="E43" s="283"/>
      <c r="F43" s="283"/>
      <c r="G43" s="283"/>
      <c r="H43" s="283"/>
      <c r="I43" s="283"/>
    </row>
    <row r="44" spans="5:9" x14ac:dyDescent="0.35">
      <c r="E44" s="283"/>
      <c r="F44" s="283"/>
      <c r="G44" s="283"/>
      <c r="H44" s="283"/>
      <c r="I44" s="283"/>
    </row>
    <row r="45" spans="5:9" x14ac:dyDescent="0.35">
      <c r="E45" s="283"/>
      <c r="F45" s="283"/>
      <c r="G45" s="283"/>
      <c r="H45" s="283"/>
      <c r="I45" s="283"/>
    </row>
    <row r="46" spans="5:9" x14ac:dyDescent="0.35">
      <c r="E46" s="283"/>
      <c r="F46" s="283"/>
      <c r="G46" s="283"/>
      <c r="H46" s="283"/>
      <c r="I46" s="283"/>
    </row>
    <row r="47" spans="5:9" x14ac:dyDescent="0.35">
      <c r="E47" s="283"/>
      <c r="F47" s="283"/>
      <c r="G47" s="283"/>
      <c r="H47" s="283"/>
      <c r="I47" s="283"/>
    </row>
    <row r="48" spans="5:9" x14ac:dyDescent="0.35">
      <c r="E48" s="283"/>
      <c r="F48" s="283"/>
      <c r="G48" s="283"/>
      <c r="H48" s="283"/>
      <c r="I48" s="283"/>
    </row>
    <row r="49" spans="5:9" x14ac:dyDescent="0.35">
      <c r="E49" s="283"/>
      <c r="F49" s="283"/>
      <c r="G49" s="283"/>
      <c r="H49" s="283"/>
      <c r="I49" s="283"/>
    </row>
    <row r="50" spans="5:9" x14ac:dyDescent="0.35">
      <c r="E50" s="283"/>
      <c r="F50" s="283"/>
      <c r="G50" s="283"/>
      <c r="H50" s="283"/>
      <c r="I50" s="283"/>
    </row>
    <row r="51" spans="5:9" x14ac:dyDescent="0.35">
      <c r="E51" s="283"/>
      <c r="F51" s="283"/>
      <c r="G51" s="283"/>
      <c r="H51" s="283"/>
      <c r="I51" s="283"/>
    </row>
    <row r="52" spans="5:9" x14ac:dyDescent="0.35">
      <c r="E52" s="283"/>
      <c r="F52" s="283"/>
      <c r="G52" s="283"/>
      <c r="H52" s="283"/>
      <c r="I52" s="283"/>
    </row>
    <row r="53" spans="5:9" x14ac:dyDescent="0.35">
      <c r="E53" s="283"/>
      <c r="F53" s="283"/>
      <c r="G53" s="283"/>
      <c r="H53" s="283"/>
      <c r="I53" s="283"/>
    </row>
    <row r="54" spans="5:9" x14ac:dyDescent="0.35">
      <c r="E54" s="283"/>
      <c r="F54" s="283"/>
      <c r="G54" s="283"/>
      <c r="H54" s="283"/>
      <c r="I54" s="283"/>
    </row>
    <row r="55" spans="5:9" x14ac:dyDescent="0.35">
      <c r="E55" s="283"/>
      <c r="F55" s="283"/>
      <c r="G55" s="283"/>
      <c r="H55" s="283"/>
      <c r="I55" s="283"/>
    </row>
    <row r="56" spans="5:9" x14ac:dyDescent="0.35">
      <c r="E56" s="283"/>
      <c r="F56" s="283"/>
      <c r="G56" s="283"/>
      <c r="H56" s="283"/>
      <c r="I56" s="283"/>
    </row>
    <row r="57" spans="5:9" x14ac:dyDescent="0.35">
      <c r="E57" s="283"/>
      <c r="F57" s="283"/>
      <c r="G57" s="283"/>
      <c r="H57" s="283"/>
      <c r="I57" s="283"/>
    </row>
    <row r="58" spans="5:9" x14ac:dyDescent="0.35">
      <c r="E58" s="283"/>
      <c r="F58" s="283"/>
      <c r="G58" s="283"/>
      <c r="H58" s="283"/>
      <c r="I58" s="283"/>
    </row>
    <row r="59" spans="5:9" x14ac:dyDescent="0.35">
      <c r="E59" s="283"/>
      <c r="F59" s="283"/>
      <c r="G59" s="283"/>
      <c r="H59" s="283"/>
      <c r="I59" s="283"/>
    </row>
    <row r="60" spans="5:9" x14ac:dyDescent="0.35">
      <c r="E60" s="283"/>
      <c r="F60" s="283"/>
      <c r="G60" s="283"/>
      <c r="H60" s="283"/>
      <c r="I60" s="283"/>
    </row>
    <row r="61" spans="5:9" x14ac:dyDescent="0.35">
      <c r="E61" s="283"/>
      <c r="F61" s="283"/>
      <c r="G61" s="283"/>
      <c r="H61" s="283"/>
      <c r="I61" s="283"/>
    </row>
    <row r="62" spans="5:9" x14ac:dyDescent="0.35">
      <c r="E62" s="283"/>
      <c r="F62" s="283"/>
      <c r="G62" s="283"/>
      <c r="H62" s="283"/>
      <c r="I62" s="283"/>
    </row>
    <row r="63" spans="5:9" x14ac:dyDescent="0.35">
      <c r="E63" s="283"/>
      <c r="F63" s="283"/>
      <c r="G63" s="283"/>
      <c r="H63" s="283"/>
      <c r="I63" s="283"/>
    </row>
    <row r="64" spans="5:9" x14ac:dyDescent="0.35">
      <c r="E64" s="283"/>
      <c r="F64" s="283"/>
      <c r="G64" s="283"/>
      <c r="H64" s="283"/>
      <c r="I64" s="283"/>
    </row>
    <row r="65" spans="5:9" x14ac:dyDescent="0.35">
      <c r="E65" s="283"/>
      <c r="F65" s="283"/>
      <c r="G65" s="283"/>
      <c r="H65" s="283"/>
      <c r="I65" s="283"/>
    </row>
    <row r="66" spans="5:9" x14ac:dyDescent="0.35">
      <c r="E66" s="283"/>
      <c r="F66" s="283"/>
      <c r="G66" s="283"/>
      <c r="H66" s="283"/>
      <c r="I66" s="283"/>
    </row>
    <row r="67" spans="5:9" x14ac:dyDescent="0.35">
      <c r="E67" s="283"/>
      <c r="F67" s="283"/>
      <c r="G67" s="283"/>
      <c r="H67" s="283"/>
      <c r="I67" s="283"/>
    </row>
    <row r="68" spans="5:9" x14ac:dyDescent="0.35">
      <c r="E68" s="283"/>
      <c r="F68" s="283"/>
      <c r="G68" s="283"/>
      <c r="H68" s="283"/>
      <c r="I68" s="283"/>
    </row>
    <row r="69" spans="5:9" x14ac:dyDescent="0.35">
      <c r="E69" s="283"/>
      <c r="F69" s="283"/>
      <c r="G69" s="283"/>
      <c r="H69" s="283"/>
      <c r="I69" s="283"/>
    </row>
    <row r="70" spans="5:9" x14ac:dyDescent="0.35">
      <c r="E70" s="283"/>
      <c r="F70" s="283"/>
      <c r="G70" s="283"/>
      <c r="H70" s="283"/>
      <c r="I70" s="283"/>
    </row>
    <row r="71" spans="5:9" x14ac:dyDescent="0.35">
      <c r="E71" s="283"/>
      <c r="F71" s="283"/>
      <c r="G71" s="283"/>
      <c r="H71" s="283"/>
      <c r="I71" s="283"/>
    </row>
    <row r="72" spans="5:9" x14ac:dyDescent="0.35">
      <c r="E72" s="283"/>
      <c r="F72" s="283"/>
      <c r="G72" s="283"/>
      <c r="H72" s="283"/>
      <c r="I72" s="283"/>
    </row>
    <row r="73" spans="5:9" x14ac:dyDescent="0.35">
      <c r="E73" s="283"/>
      <c r="F73" s="283"/>
      <c r="G73" s="283"/>
      <c r="H73" s="283"/>
      <c r="I73" s="283"/>
    </row>
    <row r="74" spans="5:9" x14ac:dyDescent="0.35">
      <c r="E74" s="283"/>
      <c r="F74" s="283"/>
      <c r="G74" s="283"/>
      <c r="H74" s="283"/>
      <c r="I74" s="283"/>
    </row>
    <row r="75" spans="5:9" x14ac:dyDescent="0.35">
      <c r="E75" s="283"/>
      <c r="F75" s="283"/>
      <c r="G75" s="283"/>
      <c r="H75" s="283"/>
      <c r="I75" s="283"/>
    </row>
    <row r="76" spans="5:9" x14ac:dyDescent="0.35">
      <c r="E76" s="283"/>
      <c r="F76" s="283"/>
      <c r="G76" s="283"/>
      <c r="H76" s="283"/>
      <c r="I76" s="283"/>
    </row>
    <row r="77" spans="5:9" x14ac:dyDescent="0.35">
      <c r="E77" s="283"/>
      <c r="F77" s="283"/>
      <c r="G77" s="283"/>
      <c r="H77" s="283"/>
      <c r="I77" s="283"/>
    </row>
    <row r="78" spans="5:9" x14ac:dyDescent="0.35">
      <c r="E78" s="283"/>
      <c r="F78" s="283"/>
      <c r="G78" s="283"/>
      <c r="H78" s="283"/>
      <c r="I78" s="283"/>
    </row>
    <row r="79" spans="5:9" x14ac:dyDescent="0.35">
      <c r="E79" s="283"/>
      <c r="F79" s="283"/>
      <c r="G79" s="283"/>
      <c r="H79" s="283"/>
      <c r="I79" s="283"/>
    </row>
    <row r="80" spans="5:9" x14ac:dyDescent="0.35">
      <c r="E80" s="283"/>
      <c r="F80" s="283"/>
      <c r="G80" s="283"/>
      <c r="H80" s="283"/>
      <c r="I80" s="283"/>
    </row>
    <row r="81" spans="5:9" x14ac:dyDescent="0.35">
      <c r="E81" s="283"/>
      <c r="F81" s="283"/>
      <c r="G81" s="283"/>
      <c r="H81" s="283"/>
      <c r="I81" s="283"/>
    </row>
    <row r="82" spans="5:9" x14ac:dyDescent="0.35">
      <c r="E82" s="283"/>
      <c r="F82" s="283"/>
      <c r="G82" s="283"/>
      <c r="H82" s="283"/>
      <c r="I82" s="283"/>
    </row>
    <row r="83" spans="5:9" x14ac:dyDescent="0.35">
      <c r="E83" s="283"/>
      <c r="F83" s="283"/>
      <c r="G83" s="283"/>
      <c r="H83" s="283"/>
      <c r="I83" s="283"/>
    </row>
    <row r="84" spans="5:9" x14ac:dyDescent="0.35">
      <c r="E84" s="283"/>
      <c r="F84" s="283"/>
      <c r="G84" s="283"/>
      <c r="H84" s="283"/>
      <c r="I84" s="283"/>
    </row>
    <row r="85" spans="5:9" x14ac:dyDescent="0.35">
      <c r="E85" s="283"/>
      <c r="F85" s="283"/>
      <c r="G85" s="283"/>
      <c r="H85" s="283"/>
      <c r="I85" s="283"/>
    </row>
    <row r="86" spans="5:9" x14ac:dyDescent="0.35">
      <c r="E86" s="283"/>
      <c r="F86" s="283"/>
      <c r="G86" s="283"/>
      <c r="H86" s="283"/>
      <c r="I86" s="283"/>
    </row>
    <row r="87" spans="5:9" x14ac:dyDescent="0.35">
      <c r="E87" s="283"/>
      <c r="F87" s="283"/>
      <c r="G87" s="283"/>
      <c r="H87" s="283"/>
      <c r="I87" s="283"/>
    </row>
    <row r="88" spans="5:9" x14ac:dyDescent="0.35">
      <c r="E88" s="283"/>
      <c r="F88" s="283"/>
      <c r="G88" s="283"/>
      <c r="H88" s="283"/>
      <c r="I88" s="283"/>
    </row>
    <row r="89" spans="5:9" x14ac:dyDescent="0.35">
      <c r="E89" s="283"/>
      <c r="F89" s="283"/>
      <c r="G89" s="283"/>
      <c r="H89" s="283"/>
      <c r="I89" s="283"/>
    </row>
    <row r="90" spans="5:9" x14ac:dyDescent="0.35">
      <c r="E90" s="283"/>
      <c r="F90" s="283"/>
      <c r="G90" s="283"/>
      <c r="H90" s="283"/>
      <c r="I90" s="283"/>
    </row>
    <row r="91" spans="5:9" x14ac:dyDescent="0.35">
      <c r="E91" s="283"/>
      <c r="F91" s="283"/>
      <c r="G91" s="283"/>
      <c r="H91" s="283"/>
      <c r="I91" s="283"/>
    </row>
    <row r="92" spans="5:9" x14ac:dyDescent="0.35">
      <c r="E92" s="283"/>
      <c r="F92" s="283"/>
      <c r="G92" s="283"/>
      <c r="H92" s="283"/>
      <c r="I92" s="283"/>
    </row>
    <row r="93" spans="5:9" x14ac:dyDescent="0.35">
      <c r="E93" s="283"/>
      <c r="F93" s="283"/>
      <c r="G93" s="283"/>
      <c r="H93" s="283"/>
      <c r="I93" s="283"/>
    </row>
    <row r="94" spans="5:9" x14ac:dyDescent="0.35">
      <c r="E94" s="283"/>
      <c r="F94" s="283"/>
      <c r="G94" s="283"/>
      <c r="H94" s="283"/>
      <c r="I94" s="283"/>
    </row>
    <row r="95" spans="5:9" x14ac:dyDescent="0.35">
      <c r="E95" s="283"/>
      <c r="F95" s="283"/>
      <c r="G95" s="283"/>
      <c r="H95" s="283"/>
      <c r="I95" s="283"/>
    </row>
    <row r="96" spans="5:9" x14ac:dyDescent="0.35">
      <c r="E96" s="283"/>
      <c r="F96" s="283"/>
      <c r="G96" s="283"/>
      <c r="H96" s="283"/>
      <c r="I96" s="283"/>
    </row>
    <row r="97" spans="5:9" x14ac:dyDescent="0.35">
      <c r="E97" s="283"/>
      <c r="F97" s="283"/>
      <c r="G97" s="283"/>
      <c r="H97" s="283"/>
      <c r="I97" s="283"/>
    </row>
    <row r="98" spans="5:9" x14ac:dyDescent="0.35">
      <c r="E98" s="283"/>
      <c r="F98" s="283"/>
      <c r="G98" s="283"/>
      <c r="H98" s="283"/>
      <c r="I98" s="283"/>
    </row>
    <row r="99" spans="5:9" x14ac:dyDescent="0.35">
      <c r="E99" s="283"/>
      <c r="F99" s="283"/>
      <c r="G99" s="283"/>
      <c r="H99" s="283"/>
      <c r="I99" s="283"/>
    </row>
    <row r="100" spans="5:9" x14ac:dyDescent="0.35">
      <c r="E100" s="283"/>
      <c r="F100" s="283"/>
      <c r="G100" s="283"/>
      <c r="H100" s="283"/>
      <c r="I100" s="283"/>
    </row>
    <row r="101" spans="5:9" x14ac:dyDescent="0.35">
      <c r="E101" s="283"/>
      <c r="F101" s="283"/>
      <c r="G101" s="283"/>
      <c r="H101" s="283"/>
      <c r="I101" s="283"/>
    </row>
    <row r="102" spans="5:9" x14ac:dyDescent="0.35">
      <c r="E102" s="283"/>
      <c r="F102" s="283"/>
      <c r="G102" s="283"/>
      <c r="H102" s="283"/>
      <c r="I102" s="283"/>
    </row>
    <row r="103" spans="5:9" x14ac:dyDescent="0.35">
      <c r="E103" s="283"/>
      <c r="F103" s="283"/>
      <c r="G103" s="283"/>
      <c r="H103" s="283"/>
      <c r="I103" s="283"/>
    </row>
    <row r="104" spans="5:9" x14ac:dyDescent="0.35">
      <c r="E104" s="283"/>
      <c r="F104" s="283"/>
      <c r="G104" s="283"/>
      <c r="H104" s="283"/>
      <c r="I104" s="283"/>
    </row>
    <row r="105" spans="5:9" x14ac:dyDescent="0.35">
      <c r="E105" s="283"/>
      <c r="F105" s="283"/>
      <c r="G105" s="283"/>
      <c r="H105" s="283"/>
      <c r="I105" s="283"/>
    </row>
    <row r="106" spans="5:9" x14ac:dyDescent="0.35">
      <c r="E106" s="283"/>
      <c r="F106" s="283"/>
      <c r="G106" s="283"/>
      <c r="H106" s="283"/>
      <c r="I106" s="283"/>
    </row>
    <row r="107" spans="5:9" x14ac:dyDescent="0.35">
      <c r="E107" s="283"/>
      <c r="F107" s="283"/>
      <c r="G107" s="283"/>
      <c r="H107" s="283"/>
      <c r="I107" s="283"/>
    </row>
    <row r="108" spans="5:9" x14ac:dyDescent="0.35">
      <c r="E108" s="283"/>
      <c r="F108" s="283"/>
      <c r="G108" s="283"/>
      <c r="H108" s="283"/>
      <c r="I108" s="283"/>
    </row>
    <row r="109" spans="5:9" x14ac:dyDescent="0.35">
      <c r="E109" s="283"/>
      <c r="F109" s="283"/>
      <c r="G109" s="283"/>
      <c r="H109" s="283"/>
      <c r="I109" s="283"/>
    </row>
    <row r="110" spans="5:9" x14ac:dyDescent="0.35">
      <c r="E110" s="283"/>
      <c r="F110" s="283"/>
      <c r="G110" s="283"/>
      <c r="H110" s="283"/>
      <c r="I110" s="283"/>
    </row>
    <row r="111" spans="5:9" x14ac:dyDescent="0.35">
      <c r="E111" s="283"/>
      <c r="F111" s="283"/>
      <c r="G111" s="283"/>
      <c r="H111" s="283"/>
      <c r="I111" s="283"/>
    </row>
    <row r="112" spans="5:9" x14ac:dyDescent="0.35">
      <c r="E112" s="283"/>
      <c r="F112" s="283"/>
      <c r="G112" s="283"/>
      <c r="H112" s="283"/>
      <c r="I112" s="283"/>
    </row>
    <row r="113" spans="5:9" x14ac:dyDescent="0.35">
      <c r="E113" s="283"/>
      <c r="F113" s="283"/>
      <c r="G113" s="283"/>
      <c r="H113" s="283"/>
      <c r="I113" s="283"/>
    </row>
    <row r="114" spans="5:9" x14ac:dyDescent="0.35">
      <c r="E114" s="283"/>
      <c r="F114" s="283"/>
      <c r="G114" s="283"/>
      <c r="H114" s="283"/>
      <c r="I114" s="283"/>
    </row>
    <row r="115" spans="5:9" x14ac:dyDescent="0.35">
      <c r="E115" s="283"/>
      <c r="F115" s="283"/>
      <c r="G115" s="283"/>
      <c r="H115" s="283"/>
      <c r="I115" s="283"/>
    </row>
    <row r="116" spans="5:9" x14ac:dyDescent="0.35">
      <c r="E116" s="283"/>
      <c r="F116" s="283"/>
      <c r="G116" s="283"/>
      <c r="H116" s="283"/>
      <c r="I116" s="283"/>
    </row>
    <row r="117" spans="5:9" x14ac:dyDescent="0.35">
      <c r="E117" s="283"/>
      <c r="F117" s="283"/>
      <c r="G117" s="283"/>
      <c r="H117" s="283"/>
      <c r="I117" s="283"/>
    </row>
    <row r="118" spans="5:9" x14ac:dyDescent="0.35">
      <c r="E118" s="283"/>
      <c r="F118" s="283"/>
      <c r="G118" s="283"/>
      <c r="H118" s="283"/>
      <c r="I118" s="283"/>
    </row>
    <row r="119" spans="5:9" x14ac:dyDescent="0.35">
      <c r="E119" s="283"/>
      <c r="F119" s="283"/>
      <c r="G119" s="283"/>
      <c r="H119" s="283"/>
      <c r="I119" s="283"/>
    </row>
    <row r="120" spans="5:9" x14ac:dyDescent="0.35">
      <c r="E120" s="283"/>
      <c r="F120" s="283"/>
      <c r="G120" s="283"/>
      <c r="H120" s="283"/>
      <c r="I120" s="283"/>
    </row>
    <row r="121" spans="5:9" x14ac:dyDescent="0.35">
      <c r="E121" s="283"/>
      <c r="F121" s="283"/>
      <c r="G121" s="283"/>
      <c r="H121" s="283"/>
      <c r="I121" s="283"/>
    </row>
    <row r="122" spans="5:9" x14ac:dyDescent="0.35">
      <c r="E122" s="283"/>
      <c r="F122" s="283"/>
      <c r="G122" s="283"/>
      <c r="H122" s="283"/>
      <c r="I122" s="283"/>
    </row>
    <row r="123" spans="5:9" x14ac:dyDescent="0.35">
      <c r="E123" s="283"/>
      <c r="F123" s="283"/>
      <c r="G123" s="283"/>
      <c r="H123" s="283"/>
      <c r="I123" s="283"/>
    </row>
    <row r="124" spans="5:9" x14ac:dyDescent="0.35">
      <c r="E124" s="283"/>
      <c r="F124" s="283"/>
      <c r="G124" s="283"/>
      <c r="H124" s="283"/>
      <c r="I124" s="283"/>
    </row>
    <row r="125" spans="5:9" x14ac:dyDescent="0.35">
      <c r="E125" s="283"/>
      <c r="F125" s="283"/>
      <c r="G125" s="283"/>
      <c r="H125" s="283"/>
      <c r="I125" s="283"/>
    </row>
    <row r="126" spans="5:9" x14ac:dyDescent="0.35">
      <c r="E126" s="283"/>
      <c r="F126" s="283"/>
      <c r="G126" s="283"/>
      <c r="H126" s="283"/>
      <c r="I126" s="283"/>
    </row>
    <row r="127" spans="5:9" x14ac:dyDescent="0.35">
      <c r="E127" s="283"/>
      <c r="F127" s="283"/>
      <c r="G127" s="283"/>
      <c r="H127" s="283"/>
      <c r="I127" s="283"/>
    </row>
    <row r="128" spans="5:9" x14ac:dyDescent="0.35">
      <c r="E128" s="283"/>
      <c r="F128" s="283"/>
      <c r="G128" s="283"/>
      <c r="H128" s="283"/>
      <c r="I128" s="283"/>
    </row>
    <row r="129" spans="5:9" x14ac:dyDescent="0.35">
      <c r="E129" s="283"/>
      <c r="F129" s="283"/>
      <c r="G129" s="283"/>
      <c r="H129" s="283"/>
      <c r="I129" s="283"/>
    </row>
    <row r="130" spans="5:9" x14ac:dyDescent="0.35">
      <c r="E130" s="283"/>
      <c r="F130" s="283"/>
      <c r="G130" s="283"/>
      <c r="H130" s="283"/>
      <c r="I130" s="283"/>
    </row>
    <row r="131" spans="5:9" x14ac:dyDescent="0.35">
      <c r="E131" s="283"/>
      <c r="F131" s="283"/>
      <c r="G131" s="283"/>
      <c r="H131" s="283"/>
      <c r="I131" s="283"/>
    </row>
    <row r="132" spans="5:9" x14ac:dyDescent="0.35">
      <c r="E132" s="283"/>
      <c r="F132" s="283"/>
      <c r="G132" s="283"/>
      <c r="H132" s="283"/>
      <c r="I132" s="283"/>
    </row>
    <row r="133" spans="5:9" x14ac:dyDescent="0.35">
      <c r="E133" s="283"/>
      <c r="F133" s="283"/>
      <c r="G133" s="283"/>
      <c r="H133" s="283"/>
      <c r="I133" s="283"/>
    </row>
    <row r="134" spans="5:9" x14ac:dyDescent="0.35">
      <c r="E134" s="283"/>
      <c r="F134" s="283"/>
      <c r="G134" s="283"/>
      <c r="H134" s="283"/>
      <c r="I134" s="283"/>
    </row>
    <row r="135" spans="5:9" x14ac:dyDescent="0.35">
      <c r="E135" s="283"/>
      <c r="F135" s="283"/>
      <c r="G135" s="283"/>
      <c r="H135" s="283"/>
      <c r="I135" s="283"/>
    </row>
    <row r="136" spans="5:9" x14ac:dyDescent="0.35">
      <c r="E136" s="283"/>
      <c r="F136" s="283"/>
      <c r="G136" s="283"/>
      <c r="H136" s="283"/>
      <c r="I136" s="283"/>
    </row>
    <row r="137" spans="5:9" x14ac:dyDescent="0.35">
      <c r="E137" s="283"/>
      <c r="F137" s="283"/>
      <c r="G137" s="283"/>
      <c r="H137" s="283"/>
      <c r="I137" s="283"/>
    </row>
    <row r="138" spans="5:9" x14ac:dyDescent="0.35">
      <c r="E138" s="283"/>
      <c r="F138" s="283"/>
      <c r="G138" s="283"/>
      <c r="H138" s="283"/>
      <c r="I138" s="283"/>
    </row>
    <row r="139" spans="5:9" x14ac:dyDescent="0.35">
      <c r="E139" s="283"/>
      <c r="F139" s="283"/>
      <c r="G139" s="283"/>
      <c r="H139" s="283"/>
      <c r="I139" s="283"/>
    </row>
    <row r="140" spans="5:9" x14ac:dyDescent="0.35">
      <c r="E140" s="283"/>
      <c r="F140" s="283"/>
      <c r="G140" s="283"/>
      <c r="H140" s="283"/>
      <c r="I140" s="283"/>
    </row>
    <row r="141" spans="5:9" x14ac:dyDescent="0.35">
      <c r="E141" s="283"/>
      <c r="F141" s="283"/>
      <c r="G141" s="283"/>
      <c r="H141" s="283"/>
      <c r="I141" s="283"/>
    </row>
    <row r="142" spans="5:9" x14ac:dyDescent="0.35">
      <c r="E142" s="283"/>
      <c r="F142" s="283"/>
      <c r="G142" s="283"/>
      <c r="H142" s="283"/>
      <c r="I142" s="283"/>
    </row>
    <row r="143" spans="5:9" x14ac:dyDescent="0.35">
      <c r="E143" s="283"/>
      <c r="F143" s="283"/>
      <c r="G143" s="283"/>
      <c r="H143" s="283"/>
      <c r="I143" s="283"/>
    </row>
    <row r="144" spans="5:9" x14ac:dyDescent="0.35">
      <c r="E144" s="283"/>
      <c r="F144" s="283"/>
      <c r="G144" s="283"/>
      <c r="H144" s="283"/>
      <c r="I144" s="283"/>
    </row>
    <row r="145" spans="5:9" x14ac:dyDescent="0.35">
      <c r="E145" s="283"/>
      <c r="F145" s="283"/>
      <c r="G145" s="283"/>
      <c r="H145" s="283"/>
      <c r="I145" s="283"/>
    </row>
    <row r="146" spans="5:9" x14ac:dyDescent="0.35">
      <c r="E146" s="283"/>
      <c r="F146" s="283"/>
      <c r="G146" s="283"/>
      <c r="H146" s="283"/>
      <c r="I146" s="283"/>
    </row>
    <row r="147" spans="5:9" x14ac:dyDescent="0.35">
      <c r="E147" s="283"/>
      <c r="F147" s="283"/>
      <c r="G147" s="283"/>
      <c r="H147" s="283"/>
      <c r="I147" s="283"/>
    </row>
    <row r="148" spans="5:9" x14ac:dyDescent="0.35">
      <c r="E148" s="283"/>
      <c r="F148" s="283"/>
      <c r="G148" s="283"/>
      <c r="H148" s="283"/>
      <c r="I148" s="283"/>
    </row>
    <row r="149" spans="5:9" x14ac:dyDescent="0.35">
      <c r="E149" s="283"/>
      <c r="F149" s="283"/>
      <c r="G149" s="283"/>
      <c r="H149" s="283"/>
      <c r="I149" s="283"/>
    </row>
    <row r="150" spans="5:9" x14ac:dyDescent="0.35">
      <c r="E150" s="283"/>
      <c r="F150" s="283"/>
      <c r="G150" s="283"/>
      <c r="H150" s="283"/>
      <c r="I150" s="283"/>
    </row>
    <row r="151" spans="5:9" x14ac:dyDescent="0.35">
      <c r="E151" s="283"/>
      <c r="F151" s="283"/>
      <c r="G151" s="283"/>
      <c r="H151" s="283"/>
      <c r="I151" s="283"/>
    </row>
    <row r="152" spans="5:9" x14ac:dyDescent="0.35">
      <c r="E152" s="283"/>
      <c r="F152" s="283"/>
      <c r="G152" s="283"/>
      <c r="H152" s="283"/>
      <c r="I152" s="283"/>
    </row>
    <row r="153" spans="5:9" x14ac:dyDescent="0.35">
      <c r="E153" s="283"/>
      <c r="F153" s="283"/>
      <c r="G153" s="283"/>
      <c r="H153" s="283"/>
      <c r="I153" s="283"/>
    </row>
    <row r="154" spans="5:9" x14ac:dyDescent="0.35">
      <c r="E154" s="283"/>
      <c r="F154" s="283"/>
      <c r="G154" s="283"/>
      <c r="H154" s="283"/>
      <c r="I154" s="283"/>
    </row>
    <row r="155" spans="5:9" x14ac:dyDescent="0.35">
      <c r="E155" s="283"/>
      <c r="F155" s="283"/>
      <c r="G155" s="283"/>
      <c r="H155" s="283"/>
      <c r="I155" s="283"/>
    </row>
    <row r="156" spans="5:9" x14ac:dyDescent="0.35">
      <c r="E156" s="283"/>
      <c r="F156" s="283"/>
      <c r="G156" s="283"/>
      <c r="H156" s="283"/>
      <c r="I156" s="283"/>
    </row>
    <row r="157" spans="5:9" x14ac:dyDescent="0.35">
      <c r="E157" s="283"/>
      <c r="F157" s="283"/>
      <c r="G157" s="283"/>
      <c r="H157" s="283"/>
      <c r="I157" s="283"/>
    </row>
    <row r="158" spans="5:9" x14ac:dyDescent="0.35">
      <c r="E158" s="283"/>
      <c r="F158" s="283"/>
      <c r="G158" s="283"/>
      <c r="H158" s="283"/>
      <c r="I158" s="283"/>
    </row>
    <row r="159" spans="5:9" x14ac:dyDescent="0.35">
      <c r="E159" s="283"/>
      <c r="F159" s="283"/>
      <c r="G159" s="283"/>
      <c r="H159" s="283"/>
      <c r="I159" s="283"/>
    </row>
    <row r="160" spans="5:9" x14ac:dyDescent="0.35">
      <c r="E160" s="283"/>
      <c r="F160" s="283"/>
      <c r="G160" s="283"/>
      <c r="H160" s="283"/>
      <c r="I160" s="283"/>
    </row>
    <row r="161" spans="5:9" x14ac:dyDescent="0.35">
      <c r="E161" s="283"/>
      <c r="F161" s="283"/>
      <c r="G161" s="283"/>
      <c r="H161" s="283"/>
      <c r="I161" s="283"/>
    </row>
    <row r="162" spans="5:9" x14ac:dyDescent="0.35">
      <c r="E162" s="283"/>
      <c r="F162" s="283"/>
      <c r="G162" s="283"/>
      <c r="H162" s="283"/>
      <c r="I162" s="283"/>
    </row>
    <row r="163" spans="5:9" x14ac:dyDescent="0.35">
      <c r="E163" s="283"/>
      <c r="F163" s="283"/>
      <c r="G163" s="283"/>
      <c r="H163" s="283"/>
      <c r="I163" s="283"/>
    </row>
    <row r="164" spans="5:9" x14ac:dyDescent="0.35">
      <c r="E164" s="283"/>
      <c r="F164" s="283"/>
      <c r="G164" s="283"/>
      <c r="H164" s="283"/>
      <c r="I164" s="283"/>
    </row>
    <row r="165" spans="5:9" x14ac:dyDescent="0.35">
      <c r="E165" s="283"/>
      <c r="F165" s="283"/>
      <c r="G165" s="283"/>
      <c r="H165" s="283"/>
      <c r="I165" s="283"/>
    </row>
    <row r="166" spans="5:9" x14ac:dyDescent="0.35">
      <c r="E166" s="283"/>
      <c r="F166" s="283"/>
      <c r="G166" s="283"/>
      <c r="H166" s="283"/>
      <c r="I166" s="283"/>
    </row>
    <row r="167" spans="5:9" x14ac:dyDescent="0.35">
      <c r="E167" s="283"/>
      <c r="F167" s="283"/>
      <c r="G167" s="283"/>
      <c r="H167" s="283"/>
      <c r="I167" s="283"/>
    </row>
    <row r="168" spans="5:9" x14ac:dyDescent="0.35">
      <c r="E168" s="283"/>
      <c r="F168" s="283"/>
      <c r="G168" s="283"/>
      <c r="H168" s="283"/>
      <c r="I168" s="283"/>
    </row>
    <row r="169" spans="5:9" x14ac:dyDescent="0.35">
      <c r="E169" s="283"/>
      <c r="F169" s="283"/>
      <c r="G169" s="283"/>
      <c r="H169" s="283"/>
      <c r="I169" s="283"/>
    </row>
    <row r="170" spans="5:9" x14ac:dyDescent="0.35">
      <c r="E170" s="283"/>
      <c r="F170" s="283"/>
      <c r="G170" s="283"/>
      <c r="H170" s="283"/>
      <c r="I170" s="283"/>
    </row>
    <row r="171" spans="5:9" x14ac:dyDescent="0.35">
      <c r="E171" s="283"/>
      <c r="F171" s="283"/>
      <c r="G171" s="283"/>
      <c r="H171" s="283"/>
      <c r="I171" s="283"/>
    </row>
    <row r="172" spans="5:9" x14ac:dyDescent="0.35">
      <c r="E172" s="283"/>
      <c r="F172" s="283"/>
      <c r="G172" s="283"/>
      <c r="H172" s="283"/>
      <c r="I172" s="283"/>
    </row>
    <row r="173" spans="5:9" x14ac:dyDescent="0.35">
      <c r="E173" s="283"/>
      <c r="F173" s="283"/>
      <c r="G173" s="283"/>
      <c r="H173" s="283"/>
      <c r="I173" s="283"/>
    </row>
    <row r="174" spans="5:9" x14ac:dyDescent="0.35">
      <c r="E174" s="283"/>
      <c r="F174" s="283"/>
      <c r="G174" s="283"/>
      <c r="H174" s="283"/>
      <c r="I174" s="283"/>
    </row>
    <row r="175" spans="5:9" x14ac:dyDescent="0.35">
      <c r="E175" s="283"/>
      <c r="F175" s="283"/>
      <c r="G175" s="283"/>
      <c r="H175" s="283"/>
      <c r="I175" s="283"/>
    </row>
    <row r="176" spans="5:9" x14ac:dyDescent="0.35">
      <c r="E176" s="283"/>
      <c r="F176" s="283"/>
      <c r="G176" s="283"/>
      <c r="H176" s="283"/>
      <c r="I176" s="283"/>
    </row>
    <row r="177" spans="5:9" x14ac:dyDescent="0.35">
      <c r="E177" s="283"/>
      <c r="F177" s="283"/>
      <c r="G177" s="283"/>
      <c r="H177" s="283"/>
      <c r="I177" s="283"/>
    </row>
    <row r="178" spans="5:9" x14ac:dyDescent="0.35">
      <c r="E178" s="283"/>
      <c r="F178" s="283"/>
      <c r="G178" s="283"/>
      <c r="H178" s="283"/>
      <c r="I178" s="283"/>
    </row>
    <row r="179" spans="5:9" x14ac:dyDescent="0.35">
      <c r="E179" s="283"/>
      <c r="F179" s="283"/>
      <c r="G179" s="283"/>
      <c r="H179" s="283"/>
      <c r="I179" s="283"/>
    </row>
    <row r="180" spans="5:9" x14ac:dyDescent="0.35">
      <c r="E180" s="283"/>
      <c r="F180" s="283"/>
      <c r="G180" s="283"/>
      <c r="H180" s="283"/>
      <c r="I180" s="283"/>
    </row>
    <row r="181" spans="5:9" x14ac:dyDescent="0.35">
      <c r="E181" s="283"/>
      <c r="F181" s="283"/>
      <c r="G181" s="283"/>
      <c r="H181" s="283"/>
      <c r="I181" s="283"/>
    </row>
    <row r="182" spans="5:9" x14ac:dyDescent="0.35">
      <c r="E182" s="283"/>
      <c r="F182" s="283"/>
      <c r="G182" s="283"/>
      <c r="H182" s="283"/>
      <c r="I182" s="283"/>
    </row>
    <row r="183" spans="5:9" x14ac:dyDescent="0.35">
      <c r="E183" s="283"/>
      <c r="F183" s="283"/>
      <c r="G183" s="283"/>
      <c r="H183" s="283"/>
      <c r="I183" s="283"/>
    </row>
    <row r="184" spans="5:9" x14ac:dyDescent="0.35">
      <c r="E184" s="283"/>
      <c r="F184" s="283"/>
      <c r="G184" s="283"/>
      <c r="H184" s="283"/>
      <c r="I184" s="283"/>
    </row>
    <row r="185" spans="5:9" x14ac:dyDescent="0.35">
      <c r="E185" s="283"/>
      <c r="F185" s="283"/>
      <c r="G185" s="283"/>
      <c r="H185" s="283"/>
      <c r="I185" s="283"/>
    </row>
    <row r="186" spans="5:9" x14ac:dyDescent="0.35">
      <c r="E186" s="283"/>
      <c r="F186" s="283"/>
      <c r="G186" s="283"/>
      <c r="H186" s="283"/>
      <c r="I186" s="283"/>
    </row>
    <row r="187" spans="5:9" x14ac:dyDescent="0.35">
      <c r="E187" s="283"/>
      <c r="F187" s="283"/>
      <c r="G187" s="283"/>
      <c r="H187" s="283"/>
      <c r="I187" s="283"/>
    </row>
    <row r="188" spans="5:9" x14ac:dyDescent="0.35">
      <c r="E188" s="283"/>
      <c r="F188" s="283"/>
      <c r="G188" s="283"/>
      <c r="H188" s="283"/>
      <c r="I188" s="283"/>
    </row>
    <row r="189" spans="5:9" x14ac:dyDescent="0.35">
      <c r="E189" s="283"/>
      <c r="F189" s="283"/>
      <c r="G189" s="283"/>
      <c r="H189" s="283"/>
      <c r="I189" s="283"/>
    </row>
    <row r="190" spans="5:9" x14ac:dyDescent="0.35">
      <c r="E190" s="283"/>
      <c r="F190" s="283"/>
      <c r="G190" s="283"/>
      <c r="H190" s="283"/>
      <c r="I190" s="283"/>
    </row>
    <row r="191" spans="5:9" x14ac:dyDescent="0.35">
      <c r="E191" s="283"/>
      <c r="F191" s="283"/>
      <c r="G191" s="283"/>
      <c r="H191" s="283"/>
      <c r="I191" s="283"/>
    </row>
    <row r="192" spans="5:9" x14ac:dyDescent="0.35">
      <c r="E192" s="283"/>
      <c r="F192" s="283"/>
      <c r="G192" s="283"/>
      <c r="H192" s="283"/>
      <c r="I192" s="283"/>
    </row>
    <row r="193" spans="5:9" x14ac:dyDescent="0.35">
      <c r="E193" s="283"/>
      <c r="F193" s="283"/>
      <c r="G193" s="283"/>
      <c r="H193" s="283"/>
      <c r="I193" s="283"/>
    </row>
    <row r="194" spans="5:9" x14ac:dyDescent="0.35">
      <c r="E194" s="283"/>
      <c r="F194" s="283"/>
      <c r="G194" s="283"/>
      <c r="H194" s="283"/>
      <c r="I194" s="283"/>
    </row>
    <row r="195" spans="5:9" x14ac:dyDescent="0.35">
      <c r="E195" s="283"/>
      <c r="F195" s="283"/>
      <c r="G195" s="283"/>
      <c r="H195" s="283"/>
      <c r="I195" s="283"/>
    </row>
    <row r="196" spans="5:9" x14ac:dyDescent="0.35">
      <c r="E196" s="283"/>
      <c r="F196" s="283"/>
      <c r="G196" s="283"/>
      <c r="H196" s="283"/>
      <c r="I196" s="283"/>
    </row>
    <row r="197" spans="5:9" x14ac:dyDescent="0.35">
      <c r="E197" s="283"/>
      <c r="F197" s="283"/>
      <c r="G197" s="283"/>
      <c r="H197" s="283"/>
      <c r="I197" s="283"/>
    </row>
    <row r="198" spans="5:9" x14ac:dyDescent="0.35">
      <c r="E198" s="283"/>
      <c r="F198" s="283"/>
      <c r="G198" s="283"/>
      <c r="H198" s="283"/>
      <c r="I198" s="283"/>
    </row>
    <row r="199" spans="5:9" x14ac:dyDescent="0.35">
      <c r="E199" s="283"/>
      <c r="F199" s="283"/>
      <c r="G199" s="283"/>
      <c r="H199" s="283"/>
      <c r="I199" s="283"/>
    </row>
    <row r="200" spans="5:9" x14ac:dyDescent="0.35">
      <c r="E200" s="283"/>
      <c r="F200" s="283"/>
      <c r="G200" s="283"/>
      <c r="H200" s="283"/>
      <c r="I200" s="283"/>
    </row>
  </sheetData>
  <mergeCells count="4">
    <mergeCell ref="A11:A13"/>
    <mergeCell ref="A14:A16"/>
    <mergeCell ref="A17:A19"/>
    <mergeCell ref="A20:A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eveloperLogin">
                <anchor moveWithCells="1" sizeWithCells="1">
                  <from>
                    <xdr:col>0</xdr:col>
                    <xdr:colOff>0</xdr:colOff>
                    <xdr:row>28</xdr:row>
                    <xdr:rowOff>177800</xdr:rowOff>
                  </from>
                  <to>
                    <xdr:col>1</xdr:col>
                    <xdr:colOff>450850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5" name="Button 18">
              <controlPr defaultSize="0" print="0" autoFill="0" autoPict="0" macro="[0]!CreatePDF">
                <anchor moveWithCells="1" sizeWithCells="1">
                  <from>
                    <xdr:col>1</xdr:col>
                    <xdr:colOff>6350</xdr:colOff>
                    <xdr:row>13</xdr:row>
                    <xdr:rowOff>0</xdr:rowOff>
                  </from>
                  <to>
                    <xdr:col>2</xdr:col>
                    <xdr:colOff>152400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6" name="Button 21">
              <controlPr defaultSize="0" print="0" autoFill="0" autoPict="0" macro="[0]!cleararmysetup">
                <anchor moveWithCells="1" sizeWithCells="1">
                  <from>
                    <xdr:col>1</xdr:col>
                    <xdr:colOff>19050</xdr:colOff>
                    <xdr:row>16</xdr:row>
                    <xdr:rowOff>25400</xdr:rowOff>
                  </from>
                  <to>
                    <xdr:col>2</xdr:col>
                    <xdr:colOff>158750</xdr:colOff>
                    <xdr:row>17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7" name="Button 23">
              <controlPr defaultSize="0" print="0" autoFill="0" autoPict="0" macro="[0]!GoToSheetInB7">
                <anchor moveWithCells="1" sizeWithCells="1">
                  <from>
                    <xdr:col>1</xdr:col>
                    <xdr:colOff>6350</xdr:colOff>
                    <xdr:row>10</xdr:row>
                    <xdr:rowOff>0</xdr:rowOff>
                  </from>
                  <to>
                    <xdr:col>2</xdr:col>
                    <xdr:colOff>165100</xdr:colOff>
                    <xdr:row>12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'unit calc'!$L$25:$L$30</xm:f>
          </x14:formula1>
          <xm:sqref>B5</xm:sqref>
        </x14:dataValidation>
        <x14:dataValidation type="list" allowBlank="1" showInputMessage="1" showErrorMessage="1">
          <x14:formula1>
            <xm:f>'unit calc'!$L$44:$L$48</xm:f>
          </x14:formula1>
          <xm:sqref>B7</xm:sqref>
        </x14:dataValidation>
        <x14:dataValidation type="list" showInputMessage="1" showErrorMessage="1">
          <x14:formula1>
            <xm:f>'unit calc'!$L$33:$L$36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N222"/>
  <sheetViews>
    <sheetView zoomScale="60" zoomScaleNormal="60" workbookViewId="0">
      <selection activeCell="D2" sqref="D2"/>
    </sheetView>
  </sheetViews>
  <sheetFormatPr defaultRowHeight="14.5" x14ac:dyDescent="0.35"/>
  <cols>
    <col min="1" max="1" width="27.08984375" customWidth="1"/>
    <col min="2" max="2" width="2.1796875" customWidth="1"/>
    <col min="3" max="3" width="17.1796875" customWidth="1"/>
    <col min="4" max="4" width="23" bestFit="1" customWidth="1"/>
    <col min="5" max="5" width="23.1796875" bestFit="1" customWidth="1"/>
    <col min="6" max="6" width="9.7265625" bestFit="1" customWidth="1"/>
    <col min="7" max="7" width="51.453125" customWidth="1"/>
    <col min="8" max="8" width="3" customWidth="1"/>
    <col min="9" max="9" width="19.90625" customWidth="1"/>
    <col min="10" max="10" width="8.453125" customWidth="1"/>
    <col min="11" max="11" width="2.453125" customWidth="1"/>
    <col min="12" max="12" width="10.54296875" customWidth="1"/>
  </cols>
  <sheetData>
    <row r="1" spans="1:7" ht="15" thickBot="1" x14ac:dyDescent="0.4">
      <c r="A1">
        <f>setup!B2</f>
        <v>0</v>
      </c>
      <c r="D1" s="18" t="s">
        <v>69</v>
      </c>
      <c r="E1" s="1" t="s">
        <v>28</v>
      </c>
      <c r="F1" s="18" t="s">
        <v>0</v>
      </c>
      <c r="G1" s="1" t="s">
        <v>1</v>
      </c>
    </row>
    <row r="2" spans="1:7" ht="15.5" thickTop="1" thickBot="1" x14ac:dyDescent="0.4">
      <c r="A2">
        <f>setup!B3</f>
        <v>0</v>
      </c>
      <c r="C2" s="223" t="s">
        <v>547</v>
      </c>
      <c r="D2" s="277" t="s">
        <v>368</v>
      </c>
      <c r="E2" s="291"/>
      <c r="F2" s="224">
        <f>IF(ISBLANK(E2),0,IF(D2='divs nats data base'!G$2,VLOOKUP(E2,standardsquads[#All],setup!C$9+1,FALSE),IF(D2='divs nats data base'!G$3,VLOOKUP(E2,assetsquads[#All],setup!C$9+1,FALSE),IF(D2='divs nats data base'!G$4,VLOOKUP(E2,feildgunsquads[#All],setup!C$9+1,FALSE),IF(D2='divs nats data base'!G$5,VLOOKUP(E2,built_SF[#All],setup!$C$9+1,FALSE),IF(D2='divs nats data base'!G$6,VLOOKUP(E2,built_SF[#All],setup!$C$9+1,FALSE),IF(D2='divs nats data base'!G$7,VLOOKUP(E2,built_SF[#All],setup!$C$9+1,FALSE))))))))</f>
        <v>0</v>
      </c>
      <c r="G2" s="225" t="str">
        <f ca="1">SUBSTITUTE(
IF(D2='divs nats data base'!G$2,VLOOKUP(E2,standardsquads[#All],3,FALSE),
IF(D2='divs nats data base'!G$3,VLOOKUP(E2,assetsquads[#All],3,FALSE),
IF(D2='divs nats data base'!G$4,VLOOKUP(E2,feildgunsquads[#All],3,FALSE),
IF(D2='divs nats data base'!G$5,VLOOKUP(E2,built_SF[#All],3,FALSE),IF(D2='divs nats data base'!G$6,VLOOKUP(E2,built_SF[#All],3,FALSE),IF(D2='divs nats data base'!G$7,VLOOKUP(E2,built_SF[#All],3,FALSE),"")))))),
"SL","BGC")</f>
        <v>0</v>
      </c>
    </row>
    <row r="3" spans="1:7" ht="15" thickBot="1" x14ac:dyDescent="0.4">
      <c r="A3" t="str">
        <f>setup!B5</f>
        <v>USA</v>
      </c>
      <c r="C3" s="76" t="s">
        <v>535</v>
      </c>
      <c r="D3" s="13"/>
      <c r="E3" s="69"/>
      <c r="F3" s="72">
        <f>IF(ISBLANK(E3),0,VLOOKUP(E3,upgrades[#All],setup!C$9+1,FALSE))</f>
        <v>0</v>
      </c>
      <c r="G3" s="105">
        <f ca="1">VLOOKUP(E3,upgrades[#All],2,FALSE)</f>
        <v>0</v>
      </c>
    </row>
    <row r="4" spans="1:7" ht="15" thickBot="1" x14ac:dyDescent="0.4">
      <c r="A4" t="str">
        <f>setup!B7</f>
        <v>infantry</v>
      </c>
      <c r="C4" s="76" t="s">
        <v>49</v>
      </c>
      <c r="D4" s="203" t="s">
        <v>504</v>
      </c>
      <c r="E4" s="68"/>
      <c r="F4" s="72">
        <f>IF(ISBLANK(E4),0,IF(D4='divs nats data base'!I$3,VLOOKUP(E4,feildgunassets[#All],setup!C$9+1,FALSE),VLOOKUP(E4,assetteams[#All],setup!C$9+1,FALSE)))</f>
        <v>0</v>
      </c>
      <c r="G4" s="105">
        <f ca="1">IF(D4='divs nats data base'!I2,VLOOKUP(E4,assetteams[#All],3,FALSE),VLOOKUP(E4,feildgunassets[#All],3,FALSE))</f>
        <v>0</v>
      </c>
    </row>
    <row r="5" spans="1:7" ht="15" thickBot="1" x14ac:dyDescent="0.4">
      <c r="A5" t="str">
        <f>setup!B9</f>
        <v>trained</v>
      </c>
      <c r="C5" s="76" t="s">
        <v>50</v>
      </c>
      <c r="D5" s="13"/>
      <c r="E5" s="68"/>
      <c r="F5" s="72">
        <f>IF(ISBLANK(E5),0,VLOOKUP(E5,uncrewedvehicles[#All],setup!C$9+1,FALSE))</f>
        <v>0</v>
      </c>
      <c r="G5" s="105">
        <f ca="1">VLOOKUP(E5,uncrewedvehicles[],3,FALSE)</f>
        <v>0</v>
      </c>
    </row>
    <row r="6" spans="1:7" ht="15" thickBot="1" x14ac:dyDescent="0.4">
      <c r="A6" s="1" t="s">
        <v>391</v>
      </c>
      <c r="C6" s="226"/>
      <c r="D6" s="226"/>
      <c r="E6" s="227" t="s">
        <v>10</v>
      </c>
      <c r="F6" s="228">
        <f>SUM(F2:F5)</f>
        <v>0</v>
      </c>
      <c r="G6" s="229"/>
    </row>
    <row r="7" spans="1:7" ht="15.5" thickTop="1" thickBot="1" x14ac:dyDescent="0.4">
      <c r="A7" s="139"/>
      <c r="C7" s="220" t="s">
        <v>90</v>
      </c>
      <c r="D7" s="277" t="s">
        <v>368</v>
      </c>
      <c r="E7" s="222"/>
      <c r="F7" s="72">
        <f>IF(ISBLANK(E7),0,IF(D7='divs nats data base'!G$2,VLOOKUP(E7,standardsquads[#All],setup!C$9+1,FALSE),IF(D7='divs nats data base'!G$3,VLOOKUP(E7,assetsquads[#All],setup!C$9+1,FALSE),IF(D7='divs nats data base'!G$4,VLOOKUP(E7,feildgunsquads[#All],setup!C$9+1,FALSE),IF(D7='divs nats data base'!G$5,VLOOKUP(E7,built_SF[#All],setup!$C$9+1,FALSE),IF(D7='divs nats data base'!G$6,VLOOKUP(E7,built_SF[#All],setup!$C$9+1,FALSE),IF(D7='divs nats data base'!G$7,VLOOKUP(E7,built_SF[#All],setup!$C$9+1,FALSE))))))))</f>
        <v>0</v>
      </c>
      <c r="G7" s="105">
        <f ca="1">IF(D7='divs nats data base'!G$2,VLOOKUP(E7,standardsquads[#All],3,FALSE),IF(D7='divs nats data base'!G$3,VLOOKUP(E7,assetsquads[#All],3,FALSE),IF(D7='divs nats data base'!G$4,VLOOKUP(E7,feildgunsquads[#All],3,FALSE),IF(D7='divs nats data base'!G$5,VLOOKUP(E7,built_SF[#All],3,FALSE),IF(D7='divs nats data base'!G$6,VLOOKUP(E7,built_SF[#All],3,FALSE),IF(D7='divs nats data base'!G$7,VLOOKUP(E7,built_SF[#All],3,FALSE)))))))</f>
        <v>0</v>
      </c>
    </row>
    <row r="8" spans="1:7" ht="15" thickBot="1" x14ac:dyDescent="0.4">
      <c r="A8" s="59"/>
      <c r="C8" s="76" t="s">
        <v>535</v>
      </c>
      <c r="D8" s="13"/>
      <c r="E8" s="69"/>
      <c r="F8" s="72">
        <f>IF(ISBLANK(E8),0,VLOOKUP(E8,upgrades[#All],setup!C$9+1,FALSE))</f>
        <v>0</v>
      </c>
      <c r="G8" s="105">
        <f ca="1">VLOOKUP(E8,upgrades[#All],2,FALSE)</f>
        <v>0</v>
      </c>
    </row>
    <row r="9" spans="1:7" ht="15" thickBot="1" x14ac:dyDescent="0.4">
      <c r="A9" s="1" t="s">
        <v>112</v>
      </c>
      <c r="C9" s="76" t="s">
        <v>49</v>
      </c>
      <c r="D9" s="203" t="s">
        <v>504</v>
      </c>
      <c r="E9" s="68"/>
      <c r="F9" s="72">
        <f>IF(ISBLANK(E9),0,IF(D9='divs nats data base'!I$3,VLOOKUP(E9,feildgunassets[#All],setup!C$9+1,FALSE),VLOOKUP(E9,assetteams[#All],setup!C$9+1,FALSE)))</f>
        <v>0</v>
      </c>
      <c r="G9" s="105">
        <f ca="1">IF(D9='divs nats data base'!I2,VLOOKUP(E9,assetteams[#All],3,FALSE),VLOOKUP(E9,feildgunassets[#All],3,FALSE))</f>
        <v>0</v>
      </c>
    </row>
    <row r="10" spans="1:7" ht="15" thickBot="1" x14ac:dyDescent="0.4">
      <c r="A10" s="139"/>
      <c r="C10" s="76" t="s">
        <v>50</v>
      </c>
      <c r="E10" s="68"/>
      <c r="F10" s="72">
        <f>IF(ISBLANK(E10),0,VLOOKUP(E10,uncrewedvehicles[#All],setup!C$9+1,FALSE))</f>
        <v>0</v>
      </c>
      <c r="G10" s="105">
        <f ca="1">VLOOKUP(E10,uncrewedvehicles[],3,FALSE)</f>
        <v>0</v>
      </c>
    </row>
    <row r="11" spans="1:7" ht="15" thickBot="1" x14ac:dyDescent="0.4">
      <c r="A11" s="1"/>
      <c r="C11" s="76"/>
      <c r="D11" s="76"/>
      <c r="E11" s="230" t="s">
        <v>10</v>
      </c>
      <c r="F11" s="231">
        <f>SUM(F7:F10)</f>
        <v>0</v>
      </c>
      <c r="G11" s="105"/>
    </row>
    <row r="12" spans="1:7" ht="15.5" thickTop="1" thickBot="1" x14ac:dyDescent="0.4">
      <c r="A12" s="18" t="s">
        <v>108</v>
      </c>
      <c r="B12" t="str">
        <f>IF(A13="attack",1.25,"1")</f>
        <v>1</v>
      </c>
      <c r="C12" s="223" t="s">
        <v>91</v>
      </c>
      <c r="D12" s="232" t="s">
        <v>368</v>
      </c>
      <c r="E12" s="233"/>
      <c r="F12" s="224">
        <f>IF(ISBLANK(E12),0,IF(D12='divs nats data base'!G$2,VLOOKUP(E12,standardsquads[#All],setup!C$9+1,FALSE),IF(D12='divs nats data base'!G$3,VLOOKUP(E12,assetsquads[#All],setup!C$9+1,FALSE),IF(D12='divs nats data base'!G$4,VLOOKUP(E12,feildgunsquads[#All],setup!C$9+1,FALSE),IF(D12='divs nats data base'!G$5,VLOOKUP(E12,built_SF[#All],setup!$C$9+1,FALSE),IF(D12='divs nats data base'!G$6,VLOOKUP(E12,built_SF[#All],setup!$C$9+1,FALSE),IF(D12='divs nats data base'!G$7,VLOOKUP(E12,built_SF[#All],setup!$C$9+1,FALSE))))))))</f>
        <v>0</v>
      </c>
      <c r="G12" s="225">
        <f ca="1">IF(D12='divs nats data base'!G$2,VLOOKUP(E12,standardsquads[#All],3,FALSE),IF(D12='divs nats data base'!G$3,VLOOKUP(E12,assetsquads[#All],3,FALSE),IF(D12='divs nats data base'!G$4,VLOOKUP(E12,feildgunsquads[#All],3,FALSE),IF(D12='divs nats data base'!G$5,VLOOKUP(E12,built_SF[#All],3,FALSE),IF(D12='divs nats data base'!G$6,VLOOKUP(E12,built_SF[#All],3,FALSE),IF(D12='divs nats data base'!G$7,VLOOKUP(E12,built_SF[#All],3,FALSE)))))))</f>
        <v>0</v>
      </c>
    </row>
    <row r="13" spans="1:7" ht="15" thickBot="1" x14ac:dyDescent="0.4">
      <c r="A13" s="66" t="s">
        <v>19</v>
      </c>
      <c r="C13" s="76" t="s">
        <v>535</v>
      </c>
      <c r="D13" s="13"/>
      <c r="E13" s="69"/>
      <c r="F13" s="72">
        <f>IF(ISBLANK(E13),0,VLOOKUP(E13,upgrades[#All],setup!C$9+1,FALSE))</f>
        <v>0</v>
      </c>
      <c r="G13" s="105">
        <f ca="1">VLOOKUP(E13,upgrades[#All],2,FALSE)</f>
        <v>0</v>
      </c>
    </row>
    <row r="14" spans="1:7" ht="15" thickBot="1" x14ac:dyDescent="0.4">
      <c r="C14" s="76" t="s">
        <v>49</v>
      </c>
      <c r="D14" s="203" t="s">
        <v>504</v>
      </c>
      <c r="E14" s="68"/>
      <c r="F14" s="72">
        <f>IF(ISBLANK(E14),0,IF(D14='divs nats data base'!I$3,VLOOKUP(E14,feildgunassets[#All],setup!C$9+1,FALSE),VLOOKUP(E14,assetteams[#All],setup!C$9+1,FALSE)))</f>
        <v>0</v>
      </c>
      <c r="G14" s="105">
        <f ca="1">IF(D14='divs nats data base'!I2,VLOOKUP(E14,assetteams[#All],3,FALSE),VLOOKUP(E14,feildgunassets[#All],3,FALSE))</f>
        <v>0</v>
      </c>
    </row>
    <row r="15" spans="1:7" ht="15" thickBot="1" x14ac:dyDescent="0.4">
      <c r="A15" s="1" t="s">
        <v>109</v>
      </c>
      <c r="B15">
        <v>1.0109999999999999</v>
      </c>
      <c r="C15" s="76" t="s">
        <v>50</v>
      </c>
      <c r="D15" s="13"/>
      <c r="E15" s="68"/>
      <c r="F15" s="72">
        <f>IF(ISBLANK(E15),0,VLOOKUP(E15,uncrewedvehicles[#All],setup!C$9+1,FALSE))</f>
        <v>0</v>
      </c>
      <c r="G15" s="105">
        <f ca="1">VLOOKUP(E15,uncrewedvehicles[],3,FALSE)</f>
        <v>0</v>
      </c>
    </row>
    <row r="16" spans="1:7" ht="15" thickBot="1" x14ac:dyDescent="0.4">
      <c r="A16" s="8">
        <f>SUM(A10*B12)</f>
        <v>0</v>
      </c>
      <c r="C16" s="226"/>
      <c r="D16" s="226"/>
      <c r="E16" s="227" t="s">
        <v>10</v>
      </c>
      <c r="F16" s="228">
        <f>SUM(F12:F15)</f>
        <v>0</v>
      </c>
      <c r="G16" s="229"/>
    </row>
    <row r="17" spans="1:14" ht="15" thickBot="1" x14ac:dyDescent="0.4">
      <c r="C17" s="220" t="s">
        <v>92</v>
      </c>
      <c r="D17" s="221" t="s">
        <v>368</v>
      </c>
      <c r="E17" s="222"/>
      <c r="F17" s="72">
        <f>IF(ISBLANK(E17),0,IF(D17='divs nats data base'!G$2,VLOOKUP(E17,standardsquads[#All],setup!C$9+1,FALSE),IF(D17='divs nats data base'!G$3,VLOOKUP(E17,assetsquads[#All],setup!C$9+1,FALSE),IF(D17='divs nats data base'!G$4,VLOOKUP(E17,feildgunsquads[#All],setup!C$9+1,FALSE),IF(D17='divs nats data base'!G$5,VLOOKUP(E17,built_SF[#All],setup!$C$9+1,FALSE),IF(D17='divs nats data base'!G$6,VLOOKUP(E17,built_SF[#All],setup!$C$9+1,FALSE),IF(D17='divs nats data base'!G$7,VLOOKUP(E17,built_SF[#All],setup!$C$9+1,FALSE))))))))</f>
        <v>0</v>
      </c>
      <c r="G17" s="105">
        <f ca="1">IF(D17='divs nats data base'!G$2,VLOOKUP(E17,standardsquads[#All],3,FALSE),IF(D17='divs nats data base'!G$3,VLOOKUP(E17,assetsquads[#All],3,FALSE),IF(D17='divs nats data base'!G$4,VLOOKUP(E17,feildgunsquads[#All],3,FALSE),IF(D17='divs nats data base'!G$5,VLOOKUP(E17,built_SF[#All],3,FALSE),IF(D17='divs nats data base'!G$6,VLOOKUP(E17,built_SF[#All],3,FALSE),IF(D17='divs nats data base'!G$7,VLOOKUP(E17,built_SF[#All],3,FALSE)))))))</f>
        <v>0</v>
      </c>
    </row>
    <row r="18" spans="1:14" ht="15" thickBot="1" x14ac:dyDescent="0.4">
      <c r="A18" s="1" t="s">
        <v>107</v>
      </c>
      <c r="C18" s="76" t="s">
        <v>535</v>
      </c>
      <c r="D18" s="13"/>
      <c r="E18" s="69"/>
      <c r="F18" s="72">
        <f>IF(ISBLANK(E18),0,VLOOKUP(E18,upgrades[#All],setup!C$9+1,FALSE))</f>
        <v>0</v>
      </c>
      <c r="G18" s="105">
        <f ca="1">VLOOKUP(E18,upgrades[#All],2,FALSE)</f>
        <v>0</v>
      </c>
    </row>
    <row r="19" spans="1:14" ht="15" thickBot="1" x14ac:dyDescent="0.4">
      <c r="A19" t="str">
        <f>A1&amp;"."&amp;A2&amp;"."&amp;A3&amp;"."&amp;A4&amp;"."&amp;A5&amp;"."&amp;A7&amp;"."&amp;A10&amp;"."&amp;A13&amp;"."&amp;setup!B28&amp;""</f>
        <v>0.0.USA.infantry.trained...neutral.7.1.0</v>
      </c>
      <c r="B19">
        <v>1</v>
      </c>
      <c r="C19" s="76" t="s">
        <v>49</v>
      </c>
      <c r="D19" s="204" t="s">
        <v>504</v>
      </c>
      <c r="E19" s="68"/>
      <c r="F19" s="72">
        <f>IF(ISBLANK(E19),0,IF(D19='divs nats data base'!I$3,VLOOKUP(E19,feildgunassets[#All],setup!C$9+1,FALSE),VLOOKUP(E19,assetteams[#All],setup!C$9+1,FALSE)))</f>
        <v>0</v>
      </c>
      <c r="G19" s="105">
        <f ca="1">IF(D19='divs nats data base'!I2,VLOOKUP(E19,assetteams[#All],3,FALSE),VLOOKUP(E19,feildgunassets[#All],3,FALSE))</f>
        <v>0</v>
      </c>
    </row>
    <row r="20" spans="1:14" ht="15" thickBot="1" x14ac:dyDescent="0.4">
      <c r="C20" s="76" t="s">
        <v>50</v>
      </c>
      <c r="D20" s="13"/>
      <c r="E20" s="68"/>
      <c r="F20" s="72">
        <f>IF(ISBLANK(E20),0,VLOOKUP(E20,uncrewedvehicles[#All],setup!C$9+1,FALSE))</f>
        <v>0</v>
      </c>
      <c r="G20" s="105">
        <f ca="1">VLOOKUP(E20,uncrewedvehicles[],3,FALSE)</f>
        <v>0</v>
      </c>
    </row>
    <row r="21" spans="1:14" ht="15" thickBot="1" x14ac:dyDescent="0.4">
      <c r="B21" s="59"/>
      <c r="C21" s="76"/>
      <c r="D21" s="76"/>
      <c r="E21" s="230" t="s">
        <v>10</v>
      </c>
      <c r="F21" s="231">
        <f>SUM(F17:F20)</f>
        <v>0</v>
      </c>
      <c r="G21" s="105"/>
      <c r="H21" s="298" t="s">
        <v>241</v>
      </c>
    </row>
    <row r="22" spans="1:14" ht="15.5" thickTop="1" thickBot="1" x14ac:dyDescent="0.4">
      <c r="A22" s="59"/>
      <c r="B22" s="67"/>
      <c r="C22" s="223" t="s">
        <v>93</v>
      </c>
      <c r="D22" s="232" t="s">
        <v>368</v>
      </c>
      <c r="E22" s="233"/>
      <c r="F22" s="224">
        <f>IF(ISBLANK(E22),0,IF(D22='divs nats data base'!G$2,VLOOKUP(E22,standardsquads[#All],setup!C$9+1,FALSE),IF(D22='divs nats data base'!G$3,VLOOKUP(E22,assetsquads[#All],setup!C$9+1,FALSE),IF(D22='divs nats data base'!G$4,VLOOKUP(E22,feildgunsquads[#All],setup!C$9+1,FALSE),IF(D22='divs nats data base'!G$5,VLOOKUP(E22,built_SF[#All],setup!$C$9+1,FALSE),IF(D22='divs nats data base'!G$6,VLOOKUP(E22,built_SF[#All],setup!$C$9+1,FALSE),IF(D22='divs nats data base'!G$7,VLOOKUP(E22,built_SF[#All],setup!$C$9+1,FALSE))))))))</f>
        <v>0</v>
      </c>
      <c r="G22" s="225">
        <f ca="1">IF(D22='divs nats data base'!G$2,VLOOKUP(E22,standardsquads[#All],3,FALSE),IF(D22='divs nats data base'!G$3,VLOOKUP(E22,assetsquads[#All],3,FALSE),IF(D22='divs nats data base'!G$4,VLOOKUP(E22,feildgunsquads[#All],3,FALSE),IF(D22='divs nats data base'!G$5,VLOOKUP(E22,built_SF[#All],3,FALSE),IF(D22='divs nats data base'!G$6,VLOOKUP(E22,built_SF[#All],3,FALSE),IF(D22='divs nats data base'!G$7,VLOOKUP(E22,built_SF[#All],3,FALSE)))))))</f>
        <v>0</v>
      </c>
      <c r="H22" s="299"/>
    </row>
    <row r="23" spans="1:14" ht="19" thickBot="1" x14ac:dyDescent="0.5">
      <c r="A23" s="202"/>
      <c r="B23" s="59"/>
      <c r="C23" s="76" t="s">
        <v>535</v>
      </c>
      <c r="D23" s="13"/>
      <c r="E23" s="69"/>
      <c r="F23" s="72">
        <f>IF(ISBLANK(E23),0,VLOOKUP(E23,upgrades[#All],setup!C$9+1,FALSE))</f>
        <v>0</v>
      </c>
      <c r="G23" s="105">
        <f ca="1">VLOOKUP(E23,upgrades[#All],2,FALSE)</f>
        <v>0</v>
      </c>
      <c r="H23" s="299"/>
    </row>
    <row r="24" spans="1:14" ht="15" thickBot="1" x14ac:dyDescent="0.4">
      <c r="A24" s="67"/>
      <c r="B24" s="59"/>
      <c r="C24" s="76" t="s">
        <v>49</v>
      </c>
      <c r="D24" s="203" t="s">
        <v>504</v>
      </c>
      <c r="E24" s="68"/>
      <c r="F24" s="72">
        <f>IF(ISBLANK(E24),0,IF(D24='divs nats data base'!I$3,VLOOKUP(E24,feildgunassets[#All],setup!C$9+1,FALSE),VLOOKUP(E24,assetteams[#All],setup!C$9+1,FALSE)))</f>
        <v>0</v>
      </c>
      <c r="G24" s="105">
        <f ca="1">IF(D24='divs nats data base'!I2,VLOOKUP(E24,assetteams[#All],3,FALSE),VLOOKUP(E24,feildgunassets[#All],3,FALSE))</f>
        <v>0</v>
      </c>
      <c r="H24" s="299"/>
    </row>
    <row r="25" spans="1:14" ht="15" thickBot="1" x14ac:dyDescent="0.4">
      <c r="A25" s="67"/>
      <c r="C25" s="76" t="s">
        <v>50</v>
      </c>
      <c r="D25" s="13"/>
      <c r="E25" s="68"/>
      <c r="F25" s="72">
        <f>IF(ISBLANK(E25),0,VLOOKUP(E25,uncrewedvehicles[#All],setup!C$9+1,FALSE))</f>
        <v>0</v>
      </c>
      <c r="G25" s="105">
        <f ca="1">VLOOKUP(E25,uncrewedvehicles[],3,FALSE)</f>
        <v>0</v>
      </c>
      <c r="H25" s="299"/>
      <c r="I25" s="1" t="s">
        <v>240</v>
      </c>
    </row>
    <row r="26" spans="1:14" ht="15" thickBot="1" x14ac:dyDescent="0.4">
      <c r="A26" s="300" t="s">
        <v>192</v>
      </c>
      <c r="C26" s="226"/>
      <c r="D26" s="226"/>
      <c r="E26" s="227" t="s">
        <v>10</v>
      </c>
      <c r="F26" s="228">
        <f>SUM(F22:F25)</f>
        <v>0</v>
      </c>
      <c r="G26" s="229"/>
      <c r="H26" s="205"/>
      <c r="I26" s="143" t="s">
        <v>243</v>
      </c>
      <c r="J26">
        <f>H26*15</f>
        <v>0</v>
      </c>
    </row>
    <row r="27" spans="1:14" ht="15.5" thickTop="1" thickBot="1" x14ac:dyDescent="0.4">
      <c r="A27" s="300"/>
      <c r="C27" s="220" t="s">
        <v>94</v>
      </c>
      <c r="D27" s="221" t="s">
        <v>368</v>
      </c>
      <c r="E27" s="222"/>
      <c r="F27" s="72">
        <f>IF(ISBLANK(E27),0,IF(D27='divs nats data base'!G$2,VLOOKUP(E27,standardsquads[#All],setup!C$9+1,FALSE),IF(D27='divs nats data base'!G$3,VLOOKUP(E27,assetsquads[#All],setup!C$9+1,FALSE),IF(D27='divs nats data base'!G$4,VLOOKUP(E27,feildgunsquads[#All],setup!C$9+1,FALSE),IF(D27='divs nats data base'!G$5,VLOOKUP(E27,built_SF[#All],setup!$C$9+1,FALSE),IF(D27='divs nats data base'!G$6,VLOOKUP(E27,built_SF[#All],setup!$C$9+1,FALSE),IF(D27='divs nats data base'!G$7,VLOOKUP(E27,built_SF[#All],setup!$C$9+1,FALSE))))))))</f>
        <v>0</v>
      </c>
      <c r="G27" s="105">
        <f ca="1">IF(D27='divs nats data base'!G$2,VLOOKUP(E27,standardsquads[#All],3,FALSE),IF(D27='divs nats data base'!G$3,VLOOKUP(E27,assetsquads[#All],3,FALSE),IF(D27='divs nats data base'!G$4,VLOOKUP(E27,feildgunsquads[#All],3,FALSE),IF(D27='divs nats data base'!G$5,VLOOKUP(E27,built_SF[#All],3,FALSE),IF(D27='divs nats data base'!G$6,VLOOKUP(E27,built_SF[#All],3,FALSE),IF(D27='divs nats data base'!G$7,VLOOKUP(E27,built_SF[#All],3,FALSE)))))))</f>
        <v>0</v>
      </c>
      <c r="H27" s="205"/>
      <c r="I27" s="8" t="s">
        <v>244</v>
      </c>
      <c r="J27">
        <f>H27*10</f>
        <v>0</v>
      </c>
    </row>
    <row r="28" spans="1:14" ht="15" thickBot="1" x14ac:dyDescent="0.4">
      <c r="A28" s="300"/>
      <c r="C28" s="76" t="s">
        <v>535</v>
      </c>
      <c r="D28" s="13" t="s">
        <v>535</v>
      </c>
      <c r="E28" s="69"/>
      <c r="F28" s="72">
        <f>IF(ISBLANK(E28),0,VLOOKUP(E28,upgrades[#All],setup!C$9+1,FALSE))</f>
        <v>0</v>
      </c>
      <c r="G28" s="105">
        <f ca="1">VLOOKUP(E28,upgrades[#All],2,FALSE)</f>
        <v>0</v>
      </c>
      <c r="H28" s="205"/>
      <c r="I28" s="14" t="s">
        <v>245</v>
      </c>
      <c r="J28">
        <f>H28*5</f>
        <v>0</v>
      </c>
      <c r="N28" t="s">
        <v>74</v>
      </c>
    </row>
    <row r="29" spans="1:14" ht="15" thickBot="1" x14ac:dyDescent="0.4">
      <c r="A29" s="301" t="s">
        <v>193</v>
      </c>
      <c r="C29" s="76" t="s">
        <v>49</v>
      </c>
      <c r="D29" s="204" t="s">
        <v>504</v>
      </c>
      <c r="E29" s="68"/>
      <c r="F29" s="72">
        <f>IF(ISBLANK(E29),0,IF(D29='divs nats data base'!I$3,VLOOKUP(E29,feildgunassets[#All],setup!C$9+1,FALSE),VLOOKUP(E29,assetteams[#All],setup!C$9+1,FALSE)))</f>
        <v>0</v>
      </c>
      <c r="G29" s="105">
        <f ca="1">IF(D29='divs nats data base'!I2,VLOOKUP(E29,assetteams[#All],3,FALSE),VLOOKUP(E29,feildgunassets[#All],3,FALSE))</f>
        <v>0</v>
      </c>
      <c r="H29" s="205"/>
      <c r="I29" s="8" t="s">
        <v>246</v>
      </c>
      <c r="J29">
        <f>H29*50</f>
        <v>0</v>
      </c>
    </row>
    <row r="30" spans="1:14" ht="15" customHeight="1" thickBot="1" x14ac:dyDescent="0.4">
      <c r="A30" s="301"/>
      <c r="C30" s="76" t="s">
        <v>50</v>
      </c>
      <c r="D30" s="13"/>
      <c r="E30" s="68"/>
      <c r="F30" s="72">
        <f>IF(ISBLANK(E30),0,VLOOKUP(E30,uncrewedvehicles[#All],setup!C$9+1,FALSE))</f>
        <v>0</v>
      </c>
      <c r="G30" s="105">
        <f ca="1">VLOOKUP(E30,uncrewedvehicles[],3,FALSE)</f>
        <v>0</v>
      </c>
    </row>
    <row r="31" spans="1:14" ht="15" customHeight="1" thickBot="1" x14ac:dyDescent="0.4">
      <c r="A31" s="301"/>
      <c r="C31" s="76"/>
      <c r="D31" s="76"/>
      <c r="E31" s="230" t="s">
        <v>10</v>
      </c>
      <c r="F31" s="231">
        <f>SUM(F27:F30)</f>
        <v>0</v>
      </c>
      <c r="G31" s="105"/>
      <c r="I31" t="s">
        <v>242</v>
      </c>
      <c r="J31">
        <f>SUM(J26:J29)</f>
        <v>0</v>
      </c>
    </row>
    <row r="32" spans="1:14" ht="15" customHeight="1" thickTop="1" thickBot="1" x14ac:dyDescent="0.4">
      <c r="A32" s="302" t="s">
        <v>194</v>
      </c>
      <c r="C32" s="223" t="s">
        <v>95</v>
      </c>
      <c r="D32" s="232" t="s">
        <v>368</v>
      </c>
      <c r="E32" s="233"/>
      <c r="F32" s="224">
        <f>IF(ISBLANK(E32),0,IF(D32='divs nats data base'!G$2,VLOOKUP(E32,standardsquads[#All],setup!C$9+1,FALSE),IF(D32='divs nats data base'!G$3,VLOOKUP(E32,assetsquads[#All],setup!C$9+1,FALSE),IF(D32='divs nats data base'!G$4,VLOOKUP(E32,feildgunsquads[#All],setup!C$9+1,FALSE),IF(D32='divs nats data base'!G$5,VLOOKUP(E32,built_SF[#All],setup!$C$9+1,FALSE),IF(D32='divs nats data base'!G$6,VLOOKUP(E32,built_SF[#All],setup!$C$9+1,FALSE),IF(D32='divs nats data base'!G$7,VLOOKUP(E32,built_SF[#All],setup!$C$9+1,FALSE))))))))</f>
        <v>0</v>
      </c>
      <c r="G32" s="225">
        <f ca="1">IF(D32='divs nats data base'!G$2,VLOOKUP(E32,standardsquads[#All],3,FALSE),IF(D32='divs nats data base'!G$3,VLOOKUP(E32,assetsquads[#All],3,FALSE),IF(D32='divs nats data base'!G$4,VLOOKUP(E32,feildgunsquads[#All],3,FALSE),IF(D32='divs nats data base'!G$5,VLOOKUP(E32,built_SF[#All],3,FALSE),IF(D32='divs nats data base'!G$6,VLOOKUP(E32,built_SF[#All],3,FALSE),IF(D32='divs nats data base'!G$7,VLOOKUP(E32,built_SF[#All],3,FALSE)))))))</f>
        <v>0</v>
      </c>
    </row>
    <row r="33" spans="1:10" ht="14.5" customHeight="1" thickBot="1" x14ac:dyDescent="0.4">
      <c r="A33" s="302"/>
      <c r="C33" s="76" t="s">
        <v>535</v>
      </c>
      <c r="D33" s="13"/>
      <c r="E33" s="69"/>
      <c r="F33" s="72">
        <f>IF(ISBLANK(E33),0,VLOOKUP(E33,upgrades[#All],setup!C$9+1,FALSE))</f>
        <v>0</v>
      </c>
      <c r="G33" s="105">
        <f ca="1">VLOOKUP(E33,upgrades[#All],2,FALSE)</f>
        <v>0</v>
      </c>
    </row>
    <row r="34" spans="1:10" ht="14.5" customHeight="1" thickBot="1" x14ac:dyDescent="0.4">
      <c r="A34" s="302"/>
      <c r="C34" s="76" t="s">
        <v>49</v>
      </c>
      <c r="D34" s="203" t="s">
        <v>504</v>
      </c>
      <c r="E34" s="68"/>
      <c r="F34" s="72">
        <f>IF(ISBLANK(E34),0,IF(D34='divs nats data base'!I$3,VLOOKUP(E34,feildgunassets[#All],setup!C$9+1,FALSE),VLOOKUP(E34,assetteams[#All],setup!C$9+1,FALSE)))</f>
        <v>0</v>
      </c>
      <c r="G34" s="105">
        <f ca="1">IF(D34='divs nats data base'!I2,VLOOKUP(E34,assetteams[#All],3,FALSE),VLOOKUP(E34,feildgunassets[#All],3,FALSE))</f>
        <v>0</v>
      </c>
    </row>
    <row r="35" spans="1:10" ht="15" customHeight="1" thickBot="1" x14ac:dyDescent="0.4">
      <c r="A35" s="303" t="s">
        <v>263</v>
      </c>
      <c r="C35" s="76" t="s">
        <v>50</v>
      </c>
      <c r="D35" s="13"/>
      <c r="E35" s="68"/>
      <c r="F35" s="72">
        <f>IF(ISBLANK(E35),0,VLOOKUP(E35,uncrewedvehicles[#All],setup!C$9+1,FALSE))</f>
        <v>0</v>
      </c>
      <c r="G35" s="105">
        <f ca="1">VLOOKUP(E35,uncrewedvehicles[],3,FALSE)</f>
        <v>0</v>
      </c>
    </row>
    <row r="36" spans="1:10" ht="15" customHeight="1" thickBot="1" x14ac:dyDescent="0.4">
      <c r="A36" s="303"/>
      <c r="C36" s="226"/>
      <c r="D36" s="226"/>
      <c r="E36" s="227" t="s">
        <v>10</v>
      </c>
      <c r="F36" s="228">
        <f>SUM(F32:F35)</f>
        <v>0</v>
      </c>
      <c r="G36" s="229"/>
    </row>
    <row r="37" spans="1:10" ht="15" customHeight="1" thickTop="1" thickBot="1" x14ac:dyDescent="0.4">
      <c r="A37" s="303"/>
      <c r="B37" s="64"/>
      <c r="C37" s="223" t="s">
        <v>96</v>
      </c>
      <c r="D37" s="232" t="s">
        <v>368</v>
      </c>
      <c r="E37" s="233"/>
      <c r="F37" s="224">
        <f>IF(ISBLANK(E37),0,IF(D37='divs nats data base'!G$2,VLOOKUP(E37,standardsquads[#All],setup!C$9+1,FALSE),IF(D37='divs nats data base'!G$3,VLOOKUP(E37,assetsquads[#All],setup!C$9+1,FALSE),IF(D37='divs nats data base'!G$4,VLOOKUP(E37,feildgunsquads[#All],setup!C$9+1,FALSE),IF(D37='divs nats data base'!G$5,VLOOKUP(E37,built_SF[#All],setup!$C$9+1,FALSE),IF(D37='divs nats data base'!G$6,VLOOKUP(E37,built_SF[#All],setup!$C$9+1,FALSE),IF(D37='divs nats data base'!G$7,VLOOKUP(E37,built_SF[#All],setup!$C$9+1,FALSE))))))))</f>
        <v>0</v>
      </c>
      <c r="G37" s="225">
        <f ca="1">IF(D37='divs nats data base'!G$2,VLOOKUP(E37,standardsquads[#All],3,FALSE),IF(D37='divs nats data base'!G$3,VLOOKUP(E37,assetsquads[#All],3,FALSE),IF(D37='divs nats data base'!G$4,VLOOKUP(E37,feildgunsquads[#All],3,FALSE),IF(D37='divs nats data base'!G$5,VLOOKUP(E37,built_SF[#All],3,FALSE),IF(D37='divs nats data base'!G$6,VLOOKUP(E37,built_SF[#All],3,FALSE),IF(D37='divs nats data base'!G$7,VLOOKUP(E37,built_SF[#All],3,FALSE)))))))</f>
        <v>0</v>
      </c>
    </row>
    <row r="38" spans="1:10" ht="14.5" customHeight="1" thickBot="1" x14ac:dyDescent="0.4">
      <c r="B38" s="67"/>
      <c r="C38" s="76" t="s">
        <v>535</v>
      </c>
      <c r="D38" s="13"/>
      <c r="E38" s="69"/>
      <c r="F38" s="72">
        <f>IF(ISBLANK(E38),0,VLOOKUP(E38,upgrades[#All],setup!C$9+1,FALSE))</f>
        <v>0</v>
      </c>
      <c r="G38" s="105">
        <f ca="1">VLOOKUP(E38,upgrades[#All],2,FALSE)</f>
        <v>0</v>
      </c>
    </row>
    <row r="39" spans="1:10" ht="17" customHeight="1" thickBot="1" x14ac:dyDescent="0.4">
      <c r="B39" s="59"/>
      <c r="C39" s="76" t="s">
        <v>49</v>
      </c>
      <c r="D39" s="203" t="s">
        <v>504</v>
      </c>
      <c r="E39" s="68"/>
      <c r="F39" s="72">
        <f>IF(ISBLANK(E39),0,IF(D39='divs nats data base'!I$3,VLOOKUP(E39,feildgunassets[#All],setup!C$9+1,FALSE),VLOOKUP(E39,assetteams[#All],setup!C$9+1,FALSE)))</f>
        <v>0</v>
      </c>
      <c r="G39" s="105">
        <f ca="1">IF(D39='divs nats data base'!I2,VLOOKUP(E39,assetteams[#All],3,FALSE),VLOOKUP(E39,feildgunassets[#All],3,FALSE))</f>
        <v>0</v>
      </c>
    </row>
    <row r="40" spans="1:10" ht="15" customHeight="1" thickBot="1" x14ac:dyDescent="0.4">
      <c r="B40" s="59"/>
      <c r="C40" s="76" t="s">
        <v>50</v>
      </c>
      <c r="D40" s="13"/>
      <c r="E40" s="68"/>
      <c r="F40" s="72">
        <f>IF(ISBLANK(E40),0,VLOOKUP(E40,uncrewedvehicles[#All],setup!C$9+1,FALSE))</f>
        <v>0</v>
      </c>
      <c r="G40" s="105">
        <f ca="1">VLOOKUP(E40,uncrewedvehicles[],3,FALSE)</f>
        <v>0</v>
      </c>
      <c r="I40" s="13" t="s">
        <v>10</v>
      </c>
      <c r="J40" s="71">
        <f>SUM(F6+F11+F16+F21+F26+F31+F36+F41+F44+J31)</f>
        <v>0</v>
      </c>
    </row>
    <row r="41" spans="1:10" ht="15" customHeight="1" thickBot="1" x14ac:dyDescent="0.4">
      <c r="A41" s="67"/>
      <c r="B41" s="59"/>
      <c r="C41" s="226"/>
      <c r="D41" s="226"/>
      <c r="E41" s="227" t="s">
        <v>10</v>
      </c>
      <c r="F41" s="228">
        <f>SUM(F37:F40)</f>
        <v>0</v>
      </c>
      <c r="G41" s="229"/>
      <c r="I41" t="s">
        <v>29</v>
      </c>
      <c r="J41" s="71">
        <f>(A16-J40)</f>
        <v>0</v>
      </c>
    </row>
    <row r="42" spans="1:10" ht="15.5" customHeight="1" thickTop="1" x14ac:dyDescent="0.35">
      <c r="A42" s="67"/>
      <c r="C42" s="59" t="str">
        <f>A19</f>
        <v>0.0.USA.infantry.trained...neutral.7.1.0</v>
      </c>
      <c r="D42" s="59"/>
      <c r="E42" s="64"/>
      <c r="F42" s="206"/>
      <c r="G42" s="59"/>
    </row>
    <row r="43" spans="1:10" x14ac:dyDescent="0.35">
      <c r="A43" s="59"/>
      <c r="C43" s="59"/>
      <c r="D43" s="59"/>
      <c r="E43" s="64"/>
      <c r="F43" s="206"/>
      <c r="G43" s="59"/>
    </row>
    <row r="44" spans="1:10" x14ac:dyDescent="0.35">
      <c r="A44" s="67"/>
      <c r="C44" s="59"/>
      <c r="D44" s="59"/>
      <c r="E44" s="59"/>
      <c r="F44" s="206"/>
      <c r="G44" s="59"/>
    </row>
    <row r="45" spans="1:10" x14ac:dyDescent="0.35">
      <c r="A45" s="67"/>
    </row>
    <row r="46" spans="1:10" x14ac:dyDescent="0.35">
      <c r="A46" s="59"/>
      <c r="E46" s="13"/>
    </row>
    <row r="47" spans="1:10" x14ac:dyDescent="0.35">
      <c r="A47" s="67"/>
      <c r="C47" s="13"/>
      <c r="D47" s="13"/>
    </row>
    <row r="48" spans="1:10" x14ac:dyDescent="0.35">
      <c r="A48" s="67"/>
      <c r="C48" s="60"/>
      <c r="D48" s="60"/>
    </row>
    <row r="49" spans="3:4" x14ac:dyDescent="0.35">
      <c r="C49" s="2"/>
      <c r="D49" s="62"/>
    </row>
    <row r="50" spans="3:4" x14ac:dyDescent="0.35">
      <c r="C50" s="2"/>
      <c r="D50" s="56"/>
    </row>
    <row r="51" spans="3:4" x14ac:dyDescent="0.35">
      <c r="C51" s="63"/>
      <c r="D51" s="56"/>
    </row>
    <row r="52" spans="3:4" x14ac:dyDescent="0.35">
      <c r="C52" s="2"/>
      <c r="D52" s="56"/>
    </row>
    <row r="53" spans="3:4" x14ac:dyDescent="0.35">
      <c r="C53" s="63"/>
      <c r="D53" s="56"/>
    </row>
    <row r="54" spans="3:4" x14ac:dyDescent="0.35">
      <c r="C54" s="64"/>
      <c r="D54" s="64"/>
    </row>
    <row r="55" spans="3:4" x14ac:dyDescent="0.35">
      <c r="C55" s="64"/>
      <c r="D55" s="64"/>
    </row>
    <row r="56" spans="3:4" x14ac:dyDescent="0.35">
      <c r="C56" s="64"/>
      <c r="D56" s="64"/>
    </row>
    <row r="57" spans="3:4" x14ac:dyDescent="0.35">
      <c r="C57" s="64"/>
      <c r="D57" s="64"/>
    </row>
    <row r="58" spans="3:4" x14ac:dyDescent="0.35">
      <c r="C58" s="64"/>
      <c r="D58" s="64"/>
    </row>
    <row r="59" spans="3:4" x14ac:dyDescent="0.35">
      <c r="C59" s="64"/>
      <c r="D59" s="64"/>
    </row>
    <row r="60" spans="3:4" x14ac:dyDescent="0.35">
      <c r="C60" s="59"/>
      <c r="D60" s="59"/>
    </row>
    <row r="61" spans="3:4" x14ac:dyDescent="0.35">
      <c r="C61" s="59"/>
      <c r="D61" s="59"/>
    </row>
    <row r="62" spans="3:4" x14ac:dyDescent="0.35">
      <c r="C62" s="59"/>
      <c r="D62" s="59"/>
    </row>
    <row r="63" spans="3:4" x14ac:dyDescent="0.35">
      <c r="C63" s="59"/>
      <c r="D63" s="59"/>
    </row>
    <row r="64" spans="3:4" x14ac:dyDescent="0.35">
      <c r="C64" s="59"/>
      <c r="D64" s="59"/>
    </row>
    <row r="65" spans="1:4" x14ac:dyDescent="0.35">
      <c r="C65" s="59"/>
      <c r="D65" s="59"/>
    </row>
    <row r="66" spans="1:4" x14ac:dyDescent="0.35">
      <c r="C66" s="59"/>
      <c r="D66" s="59"/>
    </row>
    <row r="67" spans="1:4" x14ac:dyDescent="0.35">
      <c r="C67" s="59"/>
      <c r="D67" s="59"/>
    </row>
    <row r="68" spans="1:4" x14ac:dyDescent="0.35">
      <c r="C68" s="2"/>
      <c r="D68" s="59"/>
    </row>
    <row r="69" spans="1:4" x14ac:dyDescent="0.35">
      <c r="C69" s="2"/>
      <c r="D69" s="59"/>
    </row>
    <row r="70" spans="1:4" x14ac:dyDescent="0.35">
      <c r="C70" s="59"/>
      <c r="D70" s="59"/>
    </row>
    <row r="71" spans="1:4" x14ac:dyDescent="0.35">
      <c r="C71" s="59"/>
      <c r="D71" s="59"/>
    </row>
    <row r="72" spans="1:4" x14ac:dyDescent="0.35">
      <c r="B72" s="13"/>
      <c r="C72" s="13"/>
      <c r="D72" s="13"/>
    </row>
    <row r="73" spans="1:4" x14ac:dyDescent="0.35">
      <c r="B73" s="59"/>
    </row>
    <row r="74" spans="1:4" x14ac:dyDescent="0.35">
      <c r="B74" s="59"/>
    </row>
    <row r="75" spans="1:4" x14ac:dyDescent="0.35">
      <c r="B75" s="60"/>
    </row>
    <row r="76" spans="1:4" x14ac:dyDescent="0.35">
      <c r="A76" s="59"/>
      <c r="B76" s="61"/>
    </row>
    <row r="77" spans="1:4" x14ac:dyDescent="0.35">
      <c r="A77" s="59"/>
      <c r="B77" s="63"/>
    </row>
    <row r="78" spans="1:4" x14ac:dyDescent="0.35">
      <c r="A78" s="60"/>
      <c r="B78" s="63"/>
    </row>
    <row r="79" spans="1:4" x14ac:dyDescent="0.35">
      <c r="A79" s="63"/>
      <c r="B79" s="61"/>
    </row>
    <row r="80" spans="1:4" x14ac:dyDescent="0.35">
      <c r="A80" s="63"/>
      <c r="B80" s="63"/>
    </row>
    <row r="81" spans="1:2" x14ac:dyDescent="0.35">
      <c r="A81" s="63"/>
      <c r="B81" s="2"/>
    </row>
    <row r="82" spans="1:2" x14ac:dyDescent="0.35">
      <c r="A82" s="63"/>
      <c r="B82" s="64"/>
    </row>
    <row r="83" spans="1:2" x14ac:dyDescent="0.35">
      <c r="A83" s="2" t="str">
        <f t="array" ref="A83">IFERROR(INDEX(tblunits[unitname],SMALL(IF((tblunits[nation]=$B$23)*(tblunits[division]=#REF!)*(tblunits[squadtype]=$D$7),ROW(tblunits[unitname])-MIN(ROW(tblunits[unitname]))+1),ROWS($A$83:A83))),"")</f>
        <v/>
      </c>
      <c r="B83" s="64"/>
    </row>
    <row r="84" spans="1:2" x14ac:dyDescent="0.35">
      <c r="A84" s="2" t="str">
        <f t="array" ref="A84">IFERROR(INDEX(tblunits[unitname],SMALL(IF((tblunits[nation]=$B$23)*(tblunits[division]=#REF!)*(tblunits[squadtype]=$D$7),ROW(tblunits[unitname])-MIN(ROW(tblunits[unitname]))+1),ROWS($A$83:A84))),"")</f>
        <v/>
      </c>
      <c r="B84" s="64"/>
    </row>
    <row r="85" spans="1:2" x14ac:dyDescent="0.35">
      <c r="A85" s="2" t="str">
        <f t="array" ref="A85">IFERROR(INDEX(tblunits[unitname],SMALL(IF((tblunits[nation]=$B$23)*(tblunits[division]=#REF!)*(tblunits[squadtype]=$D$7),ROW(tblunits[unitname])-MIN(ROW(tblunits[unitname]))+1),ROWS($A$83:A85))),"")</f>
        <v/>
      </c>
      <c r="B85" s="64"/>
    </row>
    <row r="86" spans="1:2" x14ac:dyDescent="0.35">
      <c r="A86" s="2" t="str">
        <f t="array" ref="A86">IFERROR(INDEX(tblunits[unitname],SMALL(IF((tblunits[nation]=$B$23)*(tblunits[division]=#REF!)*(tblunits[squadtype]=$D$7),ROW(tblunits[unitname])-MIN(ROW(tblunits[unitname]))+1),ROWS($A$83:A86))),"")</f>
        <v/>
      </c>
      <c r="B86" s="56"/>
    </row>
    <row r="87" spans="1:2" x14ac:dyDescent="0.35">
      <c r="A87" s="2" t="str">
        <f t="array" ref="A87">IFERROR(INDEX(tblunits[unitname],SMALL(IF((tblunits[nation]=$B$23)*(tblunits[division]=#REF!)*(tblunits[squadtype]=$D$7),ROW(tblunits[unitname])-MIN(ROW(tblunits[unitname]))+1),ROWS($A$83:A87))),"")</f>
        <v/>
      </c>
      <c r="B87" s="59"/>
    </row>
    <row r="88" spans="1:2" x14ac:dyDescent="0.35">
      <c r="A88" s="2" t="str">
        <f t="array" ref="A88">IFERROR(INDEX(tblunits[unitname],SMALL(IF((tblunits[nation]=$B$23)*(tblunits[division]=#REF!)*(tblunits[squadtype]=$D$7),ROW(tblunits[unitname])-MIN(ROW(tblunits[unitname]))+1),ROWS($A$83:A88))),"")</f>
        <v/>
      </c>
      <c r="B88" s="59"/>
    </row>
    <row r="89" spans="1:2" x14ac:dyDescent="0.35">
      <c r="A89" s="2" t="str">
        <f t="array" ref="A89">IFERROR(INDEX(tblunits[unitname],SMALL(IF((tblunits[nation]=$B$23)*(tblunits[division]=#REF!)*(tblunits[squadtype]=$D$7),ROW(tblunits[unitname])-MIN(ROW(tblunits[unitname]))+1),ROWS($A$83:A89))),"")</f>
        <v/>
      </c>
      <c r="B89" s="59"/>
    </row>
    <row r="90" spans="1:2" x14ac:dyDescent="0.35">
      <c r="A90" s="2" t="str">
        <f t="array" ref="A90">IFERROR(INDEX(tblunits[unitname],SMALL(IF((tblunits[nation]=$B$23)*(tblunits[division]=#REF!)*(tblunits[squadtype]=$D$7),ROW(tblunits[unitname])-MIN(ROW(tblunits[unitname]))+1),ROWS($A$83:A90))),"")</f>
        <v/>
      </c>
      <c r="B90" s="59"/>
    </row>
    <row r="91" spans="1:2" x14ac:dyDescent="0.35">
      <c r="A91" s="2" t="str">
        <f t="array" ref="A91">IFERROR(INDEX(tblunits[unitname],SMALL(IF((tblunits[nation]=$B$23)*(tblunits[division]=#REF!)*(tblunits[squadtype]=$D$7),ROW(tblunits[unitname])-MIN(ROW(tblunits[unitname]))+1),ROWS($A$83:A91))),"")</f>
        <v/>
      </c>
      <c r="B91" s="59"/>
    </row>
    <row r="92" spans="1:2" x14ac:dyDescent="0.35">
      <c r="A92" s="2" t="str">
        <f t="array" ref="A92">IFERROR(INDEX(tblunits[unitname],SMALL(IF((tblunits[nation]=$B$23)*(tblunits[division]=#REF!)*(tblunits[squadtype]=$D$7),ROW(tblunits[unitname])-MIN(ROW(tblunits[unitname]))+1),ROWS($A$83:A92))),"")</f>
        <v/>
      </c>
      <c r="B92" s="59"/>
    </row>
    <row r="93" spans="1:2" x14ac:dyDescent="0.35">
      <c r="A93" s="2" t="str">
        <f t="array" ref="A93">IFERROR(INDEX(tblunits[unitname],SMALL(IF((tblunits[nation]=$B$23)*(tblunits[division]=#REF!)*(tblunits[squadtype]=$D$7),ROW(tblunits[unitname])-MIN(ROW(tblunits[unitname]))+1),ROWS($A$83:A93))),"")</f>
        <v/>
      </c>
      <c r="B93" s="59"/>
    </row>
    <row r="94" spans="1:2" x14ac:dyDescent="0.35">
      <c r="A94" s="2" t="str">
        <f t="array" ref="A94">IFERROR(INDEX(tblunits[unitname],SMALL(IF((tblunits[nation]=$B$23)*(tblunits[division]=#REF!)*(tblunits[squadtype]=$D$7),ROW(tblunits[unitname])-MIN(ROW(tblunits[unitname]))+1),ROWS($A$83:A94))),"")</f>
        <v/>
      </c>
      <c r="B94" s="59"/>
    </row>
    <row r="95" spans="1:2" x14ac:dyDescent="0.35">
      <c r="A95" s="2" t="str">
        <f t="array" ref="A95">IFERROR(INDEX(tblunits[unitname],SMALL(IF((tblunits[nation]=$B$23)*(tblunits[division]=#REF!)*(tblunits[squadtype]=$D$7),ROW(tblunits[unitname])-MIN(ROW(tblunits[unitname]))+1),ROWS($A$83:A95))),"")</f>
        <v/>
      </c>
      <c r="B95" s="59"/>
    </row>
    <row r="96" spans="1:2" x14ac:dyDescent="0.35">
      <c r="A96" s="2" t="str">
        <f t="array" ref="A96">IFERROR(INDEX(tblunits[unitname],SMALL(IF((tblunits[nation]=$B$23)*(tblunits[division]=#REF!)*(tblunits[squadtype]=$D$7),ROW(tblunits[unitname])-MIN(ROW(tblunits[unitname]))+1),ROWS($A$83:A96))),"")</f>
        <v/>
      </c>
      <c r="B96" s="59"/>
    </row>
    <row r="97" spans="1:2" x14ac:dyDescent="0.35">
      <c r="A97" s="2" t="str">
        <f t="array" ref="A97">IFERROR(INDEX(tblunits[unitname],SMALL(IF((tblunits[nation]=$B$23)*(tblunits[division]=#REF!)*(tblunits[squadtype]=$D$7),ROW(tblunits[unitname])-MIN(ROW(tblunits[unitname]))+1),ROWS($A$83:A97))),"")</f>
        <v/>
      </c>
      <c r="B97" s="13"/>
    </row>
    <row r="98" spans="1:2" x14ac:dyDescent="0.35">
      <c r="A98" s="2" t="str">
        <f t="array" ref="A98">IFERROR(INDEX(tblunits[unitname],SMALL(IF((tblunits[nation]=$B$23)*(tblunits[division]=#REF!)*(tblunits[squadtype]=$D$7),ROW(tblunits[unitname])-MIN(ROW(tblunits[unitname]))+1),ROWS($A$83:A98))),"")</f>
        <v/>
      </c>
    </row>
    <row r="99" spans="1:2" x14ac:dyDescent="0.35">
      <c r="A99" s="2" t="str">
        <f t="array" ref="A99">IFERROR(INDEX(tblunits[unitname],SMALL(IF((tblunits[nation]=$B$23)*(tblunits[division]=#REF!)*(tblunits[squadtype]=$D$7),ROW(tblunits[unitname])-MIN(ROW(tblunits[unitname]))+1),ROWS($A$83:A99))),"")</f>
        <v/>
      </c>
    </row>
    <row r="100" spans="1:2" x14ac:dyDescent="0.35">
      <c r="A100" s="2" t="str">
        <f t="array" ref="A100">IFERROR(INDEX(tblunits[unitname],SMALL(IF((tblunits[nation]=$B$23)*(tblunits[division]=#REF!)*(tblunits[squadtype]=$D$7),ROW(tblunits[unitname])-MIN(ROW(tblunits[unitname]))+1),ROWS($A$83:A100))),"")</f>
        <v/>
      </c>
    </row>
    <row r="101" spans="1:2" x14ac:dyDescent="0.35">
      <c r="A101" s="2" t="str">
        <f t="array" ref="A101">IFERROR(INDEX(tblunits[unitname],SMALL(IF((tblunits[nation]=$B$23)*(tblunits[division]=#REF!)*(tblunits[squadtype]=$D$7),ROW(tblunits[unitname])-MIN(ROW(tblunits[unitname]))+1),ROWS($A$83:A101))),"")</f>
        <v/>
      </c>
    </row>
    <row r="102" spans="1:2" x14ac:dyDescent="0.35">
      <c r="A102" s="2" t="str">
        <f t="array" ref="A102">IFERROR(INDEX(tblunits[unitname],SMALL(IF((tblunits[nation]=$B$23)*(tblunits[division]=#REF!)*(tblunits[squadtype]=$D$7),ROW(tblunits[unitname])-MIN(ROW(tblunits[unitname]))+1),ROWS($A$83:A102))),"")</f>
        <v/>
      </c>
    </row>
    <row r="103" spans="1:2" x14ac:dyDescent="0.35">
      <c r="A103" s="2" t="str">
        <f t="array" ref="A103">IFERROR(INDEX(tblunits[unitname],SMALL(IF((tblunits[nation]=$B$23)*(tblunits[division]=#REF!)*(tblunits[squadtype]=$D$7),ROW(tblunits[unitname])-MIN(ROW(tblunits[unitname]))+1),ROWS($A$83:A103))),"")</f>
        <v/>
      </c>
    </row>
    <row r="104" spans="1:2" x14ac:dyDescent="0.35">
      <c r="A104" s="2" t="str">
        <f t="array" ref="A104">IFERROR(INDEX(tblunits[unitname],SMALL(IF((tblunits[nation]=$B$23)*(tblunits[division]=#REF!)*(tblunits[squadtype]=$D$7),ROW(tblunits[unitname])-MIN(ROW(tblunits[unitname]))+1),ROWS($A$83:A104))),"")</f>
        <v/>
      </c>
    </row>
    <row r="105" spans="1:2" x14ac:dyDescent="0.35">
      <c r="A105" s="2" t="str">
        <f t="array" ref="A105">IFERROR(INDEX(tblunits[unitname],SMALL(IF((tblunits[nation]=$B$23)*(tblunits[division]=#REF!)*(tblunits[squadtype]=$D$7),ROW(tblunits[unitname])-MIN(ROW(tblunits[unitname]))+1),ROWS($A$83:A105))),"")</f>
        <v/>
      </c>
    </row>
    <row r="106" spans="1:2" x14ac:dyDescent="0.35">
      <c r="A106" s="2" t="str">
        <f t="array" ref="A106">IFERROR(INDEX(tblunits[unitname],SMALL(IF((tblunits[nation]=$B$23)*(tblunits[division]=#REF!)*(tblunits[squadtype]=$D$7),ROW(tblunits[unitname])-MIN(ROW(tblunits[unitname]))+1),ROWS($A$83:A106))),"")</f>
        <v/>
      </c>
    </row>
    <row r="107" spans="1:2" x14ac:dyDescent="0.35">
      <c r="A107" s="2" t="str">
        <f t="array" ref="A107">IFERROR(INDEX(tblunits[unitname],SMALL(IF((tblunits[nation]=$B$23)*(tblunits[division]=#REF!)*(tblunits[squadtype]=$D$7),ROW(tblunits[unitname])-MIN(ROW(tblunits[unitname]))+1),ROWS($A$83:A107))),"")</f>
        <v/>
      </c>
    </row>
    <row r="108" spans="1:2" x14ac:dyDescent="0.35">
      <c r="A108" s="2" t="str">
        <f t="array" ref="A108">IFERROR(INDEX(tblunits[unitname],SMALL(IF((tblunits[nation]=$B$23)*(tblunits[division]=#REF!)*(tblunits[squadtype]=$D$7),ROW(tblunits[unitname])-MIN(ROW(tblunits[unitname]))+1),ROWS($A$83:A108))),"")</f>
        <v/>
      </c>
    </row>
    <row r="109" spans="1:2" x14ac:dyDescent="0.35">
      <c r="A109" s="2" t="str">
        <f t="array" ref="A109">IFERROR(INDEX(tblunits[unitname],SMALL(IF((tblunits[nation]=$B$23)*(tblunits[division]=#REF!)*(tblunits[squadtype]=$D$7),ROW(tblunits[unitname])-MIN(ROW(tblunits[unitname]))+1),ROWS($A$83:A109))),"")</f>
        <v/>
      </c>
    </row>
    <row r="110" spans="1:2" x14ac:dyDescent="0.35">
      <c r="A110" s="2" t="str">
        <f t="array" ref="A110">IFERROR(INDEX(tblunits[unitname],SMALL(IF((tblunits[nation]=$B$23)*(tblunits[division]=#REF!)*(tblunits[squadtype]=$D$7),ROW(tblunits[unitname])-MIN(ROW(tblunits[unitname]))+1),ROWS($A$83:A110))),"")</f>
        <v/>
      </c>
    </row>
    <row r="111" spans="1:2" x14ac:dyDescent="0.35">
      <c r="A111" s="2" t="str">
        <f t="array" ref="A111">IFERROR(INDEX(tblunits[unitname],SMALL(IF((tblunits[nation]=$B$23)*(tblunits[division]=#REF!)*(tblunits[squadtype]=$D$7),ROW(tblunits[unitname])-MIN(ROW(tblunits[unitname]))+1),ROWS($A$83:A111))),"")</f>
        <v/>
      </c>
    </row>
    <row r="112" spans="1:2" x14ac:dyDescent="0.35">
      <c r="A112" s="2" t="str">
        <f t="array" ref="A112">IFERROR(INDEX(tblunits[unitname],SMALL(IF((tblunits[nation]=$B$23)*(tblunits[division]=#REF!)*(tblunits[squadtype]=$D$7),ROW(tblunits[unitname])-MIN(ROW(tblunits[unitname]))+1),ROWS($A$83:A112))),"")</f>
        <v/>
      </c>
    </row>
    <row r="113" spans="1:1" x14ac:dyDescent="0.35">
      <c r="A113" s="2" t="str">
        <f t="array" ref="A113">IFERROR(INDEX(tblunits[unitname],SMALL(IF((tblunits[nation]=$B$23)*(tblunits[division]=#REF!)*(tblunits[squadtype]=$D$7),ROW(tblunits[unitname])-MIN(ROW(tblunits[unitname]))+1),ROWS($A$83:A113))),"")</f>
        <v/>
      </c>
    </row>
    <row r="114" spans="1:1" x14ac:dyDescent="0.35">
      <c r="A114" s="2" t="str">
        <f t="array" ref="A114">IFERROR(INDEX(tblunits[unitname],SMALL(IF((tblunits[nation]=$B$23)*(tblunits[division]=#REF!)*(tblunits[squadtype]=$D$7),ROW(tblunits[unitname])-MIN(ROW(tblunits[unitname]))+1),ROWS($A$83:A114))),"")</f>
        <v/>
      </c>
    </row>
    <row r="115" spans="1:1" x14ac:dyDescent="0.35">
      <c r="A115" s="2" t="str">
        <f t="array" ref="A115">IFERROR(INDEX(tblunits[unitname],SMALL(IF((tblunits[nation]=$B$23)*(tblunits[division]=#REF!)*(tblunits[squadtype]=$D$7),ROW(tblunits[unitname])-MIN(ROW(tblunits[unitname]))+1),ROWS($A$83:A115))),"")</f>
        <v/>
      </c>
    </row>
    <row r="116" spans="1:1" x14ac:dyDescent="0.35">
      <c r="A116" s="2" t="str">
        <f t="array" ref="A116">IFERROR(INDEX(tblunits[unitname],SMALL(IF((tblunits[nation]=$B$23)*(tblunits[division]=#REF!)*(tblunits[squadtype]=$D$7),ROW(tblunits[unitname])-MIN(ROW(tblunits[unitname]))+1),ROWS($A$83:A116))),"")</f>
        <v/>
      </c>
    </row>
    <row r="117" spans="1:1" x14ac:dyDescent="0.35">
      <c r="A117" s="2" t="str">
        <f t="array" ref="A117">IFERROR(INDEX(tblunits[unitname],SMALL(IF((tblunits[nation]=$B$23)*(tblunits[division]=#REF!)*(tblunits[squadtype]=$D$7),ROW(tblunits[unitname])-MIN(ROW(tblunits[unitname]))+1),ROWS($A$83:A117))),"")</f>
        <v/>
      </c>
    </row>
    <row r="118" spans="1:1" x14ac:dyDescent="0.35">
      <c r="A118" s="2" t="str">
        <f t="array" ref="A118">IFERROR(INDEX(tblunits[unitname],SMALL(IF((tblunits[nation]=$B$23)*(tblunits[division]=#REF!)*(tblunits[squadtype]=$D$7),ROW(tblunits[unitname])-MIN(ROW(tblunits[unitname]))+1),ROWS($A$83:A118))),"")</f>
        <v/>
      </c>
    </row>
    <row r="119" spans="1:1" x14ac:dyDescent="0.35">
      <c r="A119" s="2" t="str">
        <f t="array" ref="A119">IFERROR(INDEX(tblunits[unitname],SMALL(IF((tblunits[nation]=$B$23)*(tblunits[division]=#REF!)*(tblunits[squadtype]=$D$7),ROW(tblunits[unitname])-MIN(ROW(tblunits[unitname]))+1),ROWS($A$83:A119))),"")</f>
        <v/>
      </c>
    </row>
    <row r="120" spans="1:1" x14ac:dyDescent="0.35">
      <c r="A120" s="2" t="str">
        <f t="array" ref="A120">IFERROR(INDEX(tblunits[unitname],SMALL(IF((tblunits[nation]=$B$23)*(tblunits[division]=#REF!)*(tblunits[squadtype]=$D$7),ROW(tblunits[unitname])-MIN(ROW(tblunits[unitname]))+1),ROWS($A$83:A120))),"")</f>
        <v/>
      </c>
    </row>
    <row r="121" spans="1:1" x14ac:dyDescent="0.35">
      <c r="A121" s="2" t="str">
        <f t="array" ref="A121">IFERROR(INDEX(tblunits[unitname],SMALL(IF((tblunits[nation]=$B$23)*(tblunits[division]=#REF!)*(tblunits[squadtype]=$D$7),ROW(tblunits[unitname])-MIN(ROW(tblunits[unitname]))+1),ROWS($A$83:A121))),"")</f>
        <v/>
      </c>
    </row>
    <row r="122" spans="1:1" x14ac:dyDescent="0.35">
      <c r="A122" s="2" t="str">
        <f t="array" ref="A122">IFERROR(INDEX(tblunits[unitname],SMALL(IF((tblunits[nation]=$B$23)*(tblunits[division]=#REF!)*(tblunits[squadtype]=$D$7),ROW(tblunits[unitname])-MIN(ROW(tblunits[unitname]))+1),ROWS($A$83:A122))),"")</f>
        <v/>
      </c>
    </row>
    <row r="123" spans="1:1" x14ac:dyDescent="0.35">
      <c r="A123" s="2" t="str">
        <f t="array" ref="A123">IFERROR(INDEX(tblunits[unitname],SMALL(IF((tblunits[nation]=$B$23)*(tblunits[division]=#REF!)*(tblunits[squadtype]=$D$7),ROW(tblunits[unitname])-MIN(ROW(tblunits[unitname]))+1),ROWS($A$83:A123))),"")</f>
        <v/>
      </c>
    </row>
    <row r="124" spans="1:1" x14ac:dyDescent="0.35">
      <c r="A124" s="2" t="str">
        <f t="array" ref="A124">IFERROR(INDEX(tblunits[unitname],SMALL(IF((tblunits[nation]=$B$23)*(tblunits[division]=#REF!)*(tblunits[squadtype]=$D$7),ROW(tblunits[unitname])-MIN(ROW(tblunits[unitname]))+1),ROWS($A$83:A124))),"")</f>
        <v/>
      </c>
    </row>
    <row r="125" spans="1:1" x14ac:dyDescent="0.35">
      <c r="A125" s="2" t="str">
        <f t="array" ref="A125">IFERROR(INDEX(tblunits[unitname],SMALL(IF((tblunits[nation]=$B$23)*(tblunits[division]=#REF!)*(tblunits[squadtype]=$D$7),ROW(tblunits[unitname])-MIN(ROW(tblunits[unitname]))+1),ROWS($A$83:A125))),"")</f>
        <v/>
      </c>
    </row>
    <row r="126" spans="1:1" x14ac:dyDescent="0.35">
      <c r="A126" s="2" t="str">
        <f t="array" ref="A126">IFERROR(INDEX(tblunits[unitname],SMALL(IF((tblunits[nation]=$B$23)*(tblunits[division]=#REF!)*(tblunits[squadtype]=$D$7),ROW(tblunits[unitname])-MIN(ROW(tblunits[unitname]))+1),ROWS($A$83:A126))),"")</f>
        <v/>
      </c>
    </row>
    <row r="127" spans="1:1" x14ac:dyDescent="0.35">
      <c r="A127" s="2" t="str">
        <f t="array" ref="A127">IFERROR(INDEX(tblunits[unitname],SMALL(IF((tblunits[nation]=$B$23)*(tblunits[division]=#REF!)*(tblunits[squadtype]=$D$7),ROW(tblunits[unitname])-MIN(ROW(tblunits[unitname]))+1),ROWS($A$83:A127))),"")</f>
        <v/>
      </c>
    </row>
    <row r="128" spans="1:1" x14ac:dyDescent="0.35">
      <c r="A128" s="2" t="str">
        <f t="array" ref="A128">IFERROR(INDEX(tblunits[unitname],SMALL(IF((tblunits[nation]=$B$23)*(tblunits[division]=#REF!)*(tblunits[squadtype]=$D$7),ROW(tblunits[unitname])-MIN(ROW(tblunits[unitname]))+1),ROWS($A$83:A128))),"")</f>
        <v/>
      </c>
    </row>
    <row r="129" spans="1:1" x14ac:dyDescent="0.35">
      <c r="A129" s="2" t="str">
        <f t="array" ref="A129">IFERROR(INDEX(tblunits[unitname],SMALL(IF((tblunits[nation]=$B$23)*(tblunits[division]=#REF!)*(tblunits[squadtype]=$D$7),ROW(tblunits[unitname])-MIN(ROW(tblunits[unitname]))+1),ROWS($A$83:A129))),"")</f>
        <v/>
      </c>
    </row>
    <row r="130" spans="1:1" x14ac:dyDescent="0.35">
      <c r="A130" s="2" t="str">
        <f t="array" ref="A130">IFERROR(INDEX(tblunits[unitname],SMALL(IF((tblunits[nation]=$B$23)*(tblunits[division]=#REF!)*(tblunits[squadtype]=$D$7),ROW(tblunits[unitname])-MIN(ROW(tblunits[unitname]))+1),ROWS($A$83:A130))),"")</f>
        <v/>
      </c>
    </row>
    <row r="131" spans="1:1" x14ac:dyDescent="0.35">
      <c r="A131" s="2" t="str">
        <f t="array" ref="A131">IFERROR(INDEX(tblunits[unitname],SMALL(IF((tblunits[nation]=$B$23)*(tblunits[division]=#REF!)*(tblunits[squadtype]=$D$7),ROW(tblunits[unitname])-MIN(ROW(tblunits[unitname]))+1),ROWS($A$83:A131))),"")</f>
        <v/>
      </c>
    </row>
    <row r="132" spans="1:1" x14ac:dyDescent="0.35">
      <c r="A132" s="2" t="str">
        <f t="array" ref="A132">IFERROR(INDEX(tblunits[unitname],SMALL(IF((tblunits[nation]=$B$23)*(tblunits[division]=#REF!)*(tblunits[squadtype]=$D$7),ROW(tblunits[unitname])-MIN(ROW(tblunits[unitname]))+1),ROWS($A$83:A132))),"")</f>
        <v/>
      </c>
    </row>
    <row r="133" spans="1:1" x14ac:dyDescent="0.35">
      <c r="A133" s="2" t="str">
        <f t="array" ref="A133">IFERROR(INDEX(tblunits[unitname],SMALL(IF((tblunits[nation]=$B$23)*(tblunits[division]=#REF!)*(tblunits[squadtype]=$D$7),ROW(tblunits[unitname])-MIN(ROW(tblunits[unitname]))+1),ROWS($A$83:A133))),"")</f>
        <v/>
      </c>
    </row>
    <row r="134" spans="1:1" x14ac:dyDescent="0.35">
      <c r="A134" s="2" t="str">
        <f t="array" ref="A134">IFERROR(INDEX(tblunits[unitname],SMALL(IF((tblunits[nation]=$B$23)*(tblunits[division]=#REF!)*(tblunits[squadtype]=$D$7),ROW(tblunits[unitname])-MIN(ROW(tblunits[unitname]))+1),ROWS($A$83:A134))),"")</f>
        <v/>
      </c>
    </row>
    <row r="135" spans="1:1" x14ac:dyDescent="0.35">
      <c r="A135" s="2" t="str">
        <f t="array" ref="A135">IFERROR(INDEX(tblunits[unitname],SMALL(IF((tblunits[nation]=$B$23)*(tblunits[division]=#REF!)*(tblunits[squadtype]=$D$7),ROW(tblunits[unitname])-MIN(ROW(tblunits[unitname]))+1),ROWS($A$83:A135))),"")</f>
        <v/>
      </c>
    </row>
    <row r="136" spans="1:1" x14ac:dyDescent="0.35">
      <c r="A136" s="2" t="str">
        <f t="array" ref="A136">IFERROR(INDEX(tblunits[unitname],SMALL(IF((tblunits[nation]=$B$23)*(tblunits[division]=#REF!)*(tblunits[squadtype]=$D$7),ROW(tblunits[unitname])-MIN(ROW(tblunits[unitname]))+1),ROWS($A$83:A136))),"")</f>
        <v/>
      </c>
    </row>
    <row r="137" spans="1:1" x14ac:dyDescent="0.35">
      <c r="A137" s="2" t="str">
        <f t="array" ref="A137">IFERROR(INDEX(tblunits[unitname],SMALL(IF((tblunits[nation]=$B$23)*(tblunits[division]=#REF!)*(tblunits[squadtype]=$D$7),ROW(tblunits[unitname])-MIN(ROW(tblunits[unitname]))+1),ROWS($A$83:A137))),"")</f>
        <v/>
      </c>
    </row>
    <row r="138" spans="1:1" x14ac:dyDescent="0.35">
      <c r="A138" s="2" t="str">
        <f t="array" ref="A138">IFERROR(INDEX(tblunits[unitname],SMALL(IF((tblunits[nation]=$B$23)*(tblunits[division]=#REF!)*(tblunits[squadtype]=$D$7),ROW(tblunits[unitname])-MIN(ROW(tblunits[unitname]))+1),ROWS($A$83:A138))),"")</f>
        <v/>
      </c>
    </row>
    <row r="139" spans="1:1" x14ac:dyDescent="0.35">
      <c r="A139" s="2" t="str">
        <f t="array" ref="A139">IFERROR(INDEX(tblunits[unitname],SMALL(IF((tblunits[nation]=$B$23)*(tblunits[division]=#REF!)*(tblunits[squadtype]=$D$7),ROW(tblunits[unitname])-MIN(ROW(tblunits[unitname]))+1),ROWS($A$83:A139))),"")</f>
        <v/>
      </c>
    </row>
    <row r="140" spans="1:1" x14ac:dyDescent="0.35">
      <c r="A140" s="2" t="str">
        <f t="array" ref="A140">IFERROR(INDEX(tblunits[unitname],SMALL(IF((tblunits[nation]=$B$23)*(tblunits[division]=#REF!)*(tblunits[squadtype]=$D$7),ROW(tblunits[unitname])-MIN(ROW(tblunits[unitname]))+1),ROWS($A$83:A140))),"")</f>
        <v/>
      </c>
    </row>
    <row r="141" spans="1:1" x14ac:dyDescent="0.35">
      <c r="A141" s="2" t="str">
        <f t="array" ref="A141">IFERROR(INDEX(tblunits[unitname],SMALL(IF((tblunits[nation]=$B$23)*(tblunits[division]=#REF!)*(tblunits[squadtype]=$D$7),ROW(tblunits[unitname])-MIN(ROW(tblunits[unitname]))+1),ROWS($A$83:A141))),"")</f>
        <v/>
      </c>
    </row>
    <row r="142" spans="1:1" x14ac:dyDescent="0.35">
      <c r="A142" s="2" t="str">
        <f t="array" ref="A142">IFERROR(INDEX(tblunits[unitname],SMALL(IF((tblunits[nation]=$B$23)*(tblunits[division]=#REF!)*(tblunits[squadtype]=$D$7),ROW(tblunits[unitname])-MIN(ROW(tblunits[unitname]))+1),ROWS($A$83:A142))),"")</f>
        <v/>
      </c>
    </row>
    <row r="143" spans="1:1" x14ac:dyDescent="0.35">
      <c r="A143" s="2" t="str">
        <f t="array" ref="A143">IFERROR(INDEX(tblunits[unitname],SMALL(IF((tblunits[nation]=$B$23)*(tblunits[division]=#REF!)*(tblunits[squadtype]=$D$7),ROW(tblunits[unitname])-MIN(ROW(tblunits[unitname]))+1),ROWS($A$83:A143))),"")</f>
        <v/>
      </c>
    </row>
    <row r="144" spans="1:1" x14ac:dyDescent="0.35">
      <c r="A144" s="2" t="str">
        <f t="array" ref="A144">IFERROR(INDEX(tblunits[unitname],SMALL(IF((tblunits[nation]=$B$23)*(tblunits[division]=#REF!)*(tblunits[squadtype]=$D$7),ROW(tblunits[unitname])-MIN(ROW(tblunits[unitname]))+1),ROWS($A$83:A144))),"")</f>
        <v/>
      </c>
    </row>
    <row r="145" spans="1:1" x14ac:dyDescent="0.35">
      <c r="A145" s="2" t="str">
        <f t="array" ref="A145">IFERROR(INDEX(tblunits[unitname],SMALL(IF((tblunits[nation]=$B$23)*(tblunits[division]=#REF!)*(tblunits[squadtype]=$D$7),ROW(tblunits[unitname])-MIN(ROW(tblunits[unitname]))+1),ROWS($A$83:A145))),"")</f>
        <v/>
      </c>
    </row>
    <row r="146" spans="1:1" x14ac:dyDescent="0.35">
      <c r="A146" s="2" t="str">
        <f t="array" ref="A146">IFERROR(INDEX(tblunits[unitname],SMALL(IF((tblunits[nation]=$B$23)*(tblunits[division]=#REF!)*(tblunits[squadtype]=$D$7),ROW(tblunits[unitname])-MIN(ROW(tblunits[unitname]))+1),ROWS($A$83:A146))),"")</f>
        <v/>
      </c>
    </row>
    <row r="147" spans="1:1" x14ac:dyDescent="0.35">
      <c r="A147" s="2" t="str">
        <f t="array" ref="A147">IFERROR(INDEX(tblunits[unitname],SMALL(IF((tblunits[nation]=$B$23)*(tblunits[division]=#REF!)*(tblunits[squadtype]=$D$7),ROW(tblunits[unitname])-MIN(ROW(tblunits[unitname]))+1),ROWS($A$83:A147))),"")</f>
        <v/>
      </c>
    </row>
    <row r="148" spans="1:1" x14ac:dyDescent="0.35">
      <c r="A148" s="2" t="str">
        <f t="array" ref="A148">IFERROR(INDEX(tblunits[unitname],SMALL(IF((tblunits[nation]=$B$23)*(tblunits[division]=#REF!)*(tblunits[squadtype]=$D$7),ROW(tblunits[unitname])-MIN(ROW(tblunits[unitname]))+1),ROWS($A$83:A148))),"")</f>
        <v/>
      </c>
    </row>
    <row r="149" spans="1:1" x14ac:dyDescent="0.35">
      <c r="A149" s="2" t="str">
        <f t="array" ref="A149">IFERROR(INDEX(tblunits[unitname],SMALL(IF((tblunits[nation]=$B$23)*(tblunits[division]=#REF!)*(tblunits[squadtype]=$D$7),ROW(tblunits[unitname])-MIN(ROW(tblunits[unitname]))+1),ROWS($A$83:A149))),"")</f>
        <v/>
      </c>
    </row>
    <row r="150" spans="1:1" x14ac:dyDescent="0.35">
      <c r="A150" s="2" t="str">
        <f t="array" ref="A150">IFERROR(INDEX(tblunits[unitname],SMALL(IF((tblunits[nation]=$B$23)*(tblunits[division]=#REF!)*(tblunits[squadtype]=$D$7),ROW(tblunits[unitname])-MIN(ROW(tblunits[unitname]))+1),ROWS($A$83:A150))),"")</f>
        <v/>
      </c>
    </row>
    <row r="151" spans="1:1" x14ac:dyDescent="0.35">
      <c r="A151" s="2" t="str">
        <f t="array" ref="A151">IFERROR(INDEX(tblunits[unitname],SMALL(IF((tblunits[nation]=$B$23)*(tblunits[division]=#REF!)*(tblunits[squadtype]=$D$7),ROW(tblunits[unitname])-MIN(ROW(tblunits[unitname]))+1),ROWS($A$83:A151))),"")</f>
        <v/>
      </c>
    </row>
    <row r="152" spans="1:1" x14ac:dyDescent="0.35">
      <c r="A152" s="2" t="str">
        <f t="array" ref="A152">IFERROR(INDEX(tblunits[unitname],SMALL(IF((tblunits[nation]=$B$23)*(tblunits[division]=#REF!)*(tblunits[squadtype]=$D$7),ROW(tblunits[unitname])-MIN(ROW(tblunits[unitname]))+1),ROWS($A$83:A152))),"")</f>
        <v/>
      </c>
    </row>
    <row r="153" spans="1:1" x14ac:dyDescent="0.35">
      <c r="A153" s="2" t="str">
        <f t="array" ref="A153">IFERROR(INDEX(tblunits[unitname],SMALL(IF((tblunits[nation]=$B$23)*(tblunits[division]=#REF!)*(tblunits[squadtype]=$D$7),ROW(tblunits[unitname])-MIN(ROW(tblunits[unitname]))+1),ROWS($A$83:A153))),"")</f>
        <v/>
      </c>
    </row>
    <row r="154" spans="1:1" x14ac:dyDescent="0.35">
      <c r="A154" s="2" t="str">
        <f t="array" ref="A154">IFERROR(INDEX(tblunits[unitname],SMALL(IF((tblunits[nation]=$B$23)*(tblunits[division]=#REF!)*(tblunits[squadtype]=$D$7),ROW(tblunits[unitname])-MIN(ROW(tblunits[unitname]))+1),ROWS($A$83:A154))),"")</f>
        <v/>
      </c>
    </row>
    <row r="155" spans="1:1" x14ac:dyDescent="0.35">
      <c r="A155" s="2" t="str">
        <f t="array" ref="A155">IFERROR(INDEX(tblunits[unitname],SMALL(IF((tblunits[nation]=$B$23)*(tblunits[division]=#REF!)*(tblunits[squadtype]=$D$7),ROW(tblunits[unitname])-MIN(ROW(tblunits[unitname]))+1),ROWS($A$83:A155))),"")</f>
        <v/>
      </c>
    </row>
    <row r="156" spans="1:1" x14ac:dyDescent="0.35">
      <c r="A156" s="2" t="str">
        <f t="array" ref="A156">IFERROR(INDEX(tblunits[unitname],SMALL(IF((tblunits[nation]=$B$23)*(tblunits[division]=#REF!)*(tblunits[squadtype]=$D$7),ROW(tblunits[unitname])-MIN(ROW(tblunits[unitname]))+1),ROWS($A$83:A156))),"")</f>
        <v/>
      </c>
    </row>
    <row r="157" spans="1:1" x14ac:dyDescent="0.35">
      <c r="A157" s="2" t="str">
        <f t="array" ref="A157">IFERROR(INDEX(tblunits[unitname],SMALL(IF((tblunits[nation]=$B$23)*(tblunits[division]=#REF!)*(tblunits[squadtype]=$D$7),ROW(tblunits[unitname])-MIN(ROW(tblunits[unitname]))+1),ROWS($A$83:A157))),"")</f>
        <v/>
      </c>
    </row>
    <row r="158" spans="1:1" x14ac:dyDescent="0.35">
      <c r="A158" s="2" t="str">
        <f t="array" ref="A158">IFERROR(INDEX(tblunits[unitname],SMALL(IF((tblunits[nation]=$B$23)*(tblunits[division]=#REF!)*(tblunits[squadtype]=$D$7),ROW(tblunits[unitname])-MIN(ROW(tblunits[unitname]))+1),ROWS($A$83:A158))),"")</f>
        <v/>
      </c>
    </row>
    <row r="159" spans="1:1" x14ac:dyDescent="0.35">
      <c r="A159" s="2" t="str">
        <f t="array" ref="A159">IFERROR(INDEX(tblunits[unitname],SMALL(IF((tblunits[nation]=$B$23)*(tblunits[division]=#REF!)*(tblunits[squadtype]=$D$7),ROW(tblunits[unitname])-MIN(ROW(tblunits[unitname]))+1),ROWS($A$83:A159))),"")</f>
        <v/>
      </c>
    </row>
    <row r="160" spans="1:1" x14ac:dyDescent="0.35">
      <c r="A160" s="2" t="str">
        <f t="array" ref="A160">IFERROR(INDEX(tblunits[unitname],SMALL(IF((tblunits[nation]=$B$23)*(tblunits[division]=#REF!)*(tblunits[squadtype]=$D$7),ROW(tblunits[unitname])-MIN(ROW(tblunits[unitname]))+1),ROWS($A$83:A160))),"")</f>
        <v/>
      </c>
    </row>
    <row r="161" spans="1:1" x14ac:dyDescent="0.35">
      <c r="A161" s="2" t="str">
        <f t="array" ref="A161">IFERROR(INDEX(tblunits[unitname],SMALL(IF((tblunits[nation]=$B$23)*(tblunits[division]=#REF!)*(tblunits[squadtype]=$D$7),ROW(tblunits[unitname])-MIN(ROW(tblunits[unitname]))+1),ROWS($A$83:A161))),"")</f>
        <v/>
      </c>
    </row>
    <row r="162" spans="1:1" x14ac:dyDescent="0.35">
      <c r="A162" s="2" t="str">
        <f t="array" ref="A162">IFERROR(INDEX(tblunits[unitname],SMALL(IF((tblunits[nation]=$B$23)*(tblunits[division]=#REF!)*(tblunits[squadtype]=$D$7),ROW(tblunits[unitname])-MIN(ROW(tblunits[unitname]))+1),ROWS($A$83:A162))),"")</f>
        <v/>
      </c>
    </row>
    <row r="163" spans="1:1" x14ac:dyDescent="0.35">
      <c r="A163" s="2" t="str">
        <f t="array" ref="A163">IFERROR(INDEX(tblunits[unitname],SMALL(IF((tblunits[nation]=$B$23)*(tblunits[division]=#REF!)*(tblunits[squadtype]=$D$7),ROW(tblunits[unitname])-MIN(ROW(tblunits[unitname]))+1),ROWS($A$83:A163))),"")</f>
        <v/>
      </c>
    </row>
    <row r="164" spans="1:1" x14ac:dyDescent="0.35">
      <c r="A164" s="2" t="str">
        <f t="array" ref="A164">IFERROR(INDEX(tblunits[unitname],SMALL(IF((tblunits[nation]=$B$23)*(tblunits[division]=#REF!)*(tblunits[squadtype]=$D$7),ROW(tblunits[unitname])-MIN(ROW(tblunits[unitname]))+1),ROWS($A$83:A164))),"")</f>
        <v/>
      </c>
    </row>
    <row r="165" spans="1:1" x14ac:dyDescent="0.35">
      <c r="A165" s="2" t="str">
        <f t="array" ref="A165">IFERROR(INDEX(tblunits[unitname],SMALL(IF((tblunits[nation]=$B$23)*(tblunits[division]=#REF!)*(tblunits[squadtype]=$D$7),ROW(tblunits[unitname])-MIN(ROW(tblunits[unitname]))+1),ROWS($A$83:A165))),"")</f>
        <v/>
      </c>
    </row>
    <row r="166" spans="1:1" x14ac:dyDescent="0.35">
      <c r="A166" s="2" t="str">
        <f t="array" ref="A166">IFERROR(INDEX(tblunits[unitname],SMALL(IF((tblunits[nation]=$B$23)*(tblunits[division]=#REF!)*(tblunits[squadtype]=$D$7),ROW(tblunits[unitname])-MIN(ROW(tblunits[unitname]))+1),ROWS($A$83:A166))),"")</f>
        <v/>
      </c>
    </row>
    <row r="167" spans="1:1" x14ac:dyDescent="0.35">
      <c r="A167" s="2" t="str">
        <f t="array" ref="A167">IFERROR(INDEX(tblunits[unitname],SMALL(IF((tblunits[nation]=$B$23)*(tblunits[division]=#REF!)*(tblunits[squadtype]=$D$7),ROW(tblunits[unitname])-MIN(ROW(tblunits[unitname]))+1),ROWS($A$83:A167))),"")</f>
        <v/>
      </c>
    </row>
    <row r="168" spans="1:1" x14ac:dyDescent="0.35">
      <c r="A168" s="2" t="str">
        <f t="array" ref="A168">IFERROR(INDEX(tblunits[unitname],SMALL(IF((tblunits[nation]=$B$23)*(tblunits[division]=#REF!)*(tblunits[squadtype]=$D$7),ROW(tblunits[unitname])-MIN(ROW(tblunits[unitname]))+1),ROWS($A$83:A168))),"")</f>
        <v/>
      </c>
    </row>
    <row r="169" spans="1:1" x14ac:dyDescent="0.35">
      <c r="A169" s="2" t="str">
        <f t="array" ref="A169">IFERROR(INDEX(tblunits[unitname],SMALL(IF((tblunits[nation]=$B$23)*(tblunits[division]=#REF!)*(tblunits[squadtype]=$D$7),ROW(tblunits[unitname])-MIN(ROW(tblunits[unitname]))+1),ROWS($A$83:A169))),"")</f>
        <v/>
      </c>
    </row>
    <row r="170" spans="1:1" x14ac:dyDescent="0.35">
      <c r="A170" s="2" t="str">
        <f t="array" ref="A170">IFERROR(INDEX(tblunits[unitname],SMALL(IF((tblunits[nation]=$B$23)*(tblunits[division]=#REF!)*(tblunits[squadtype]=$D$7),ROW(tblunits[unitname])-MIN(ROW(tblunits[unitname]))+1),ROWS($A$83:A170))),"")</f>
        <v/>
      </c>
    </row>
    <row r="171" spans="1:1" x14ac:dyDescent="0.35">
      <c r="A171" s="2" t="str">
        <f t="array" ref="A171">IFERROR(INDEX(tblunits[unitname],SMALL(IF((tblunits[nation]=$B$23)*(tblunits[division]=#REF!)*(tblunits[squadtype]=$D$7),ROW(tblunits[unitname])-MIN(ROW(tblunits[unitname]))+1),ROWS($A$83:A171))),"")</f>
        <v/>
      </c>
    </row>
    <row r="172" spans="1:1" x14ac:dyDescent="0.35">
      <c r="A172" s="2" t="str">
        <f t="array" ref="A172">IFERROR(INDEX(tblunits[unitname],SMALL(IF((tblunits[nation]=$B$23)*(tblunits[division]=#REF!)*(tblunits[squadtype]=$D$7),ROW(tblunits[unitname])-MIN(ROW(tblunits[unitname]))+1),ROWS($A$83:A172))),"")</f>
        <v/>
      </c>
    </row>
    <row r="173" spans="1:1" x14ac:dyDescent="0.35">
      <c r="A173" s="2" t="str">
        <f t="array" ref="A173">IFERROR(INDEX(tblunits[unitname],SMALL(IF((tblunits[nation]=$B$23)*(tblunits[division]=#REF!)*(tblunits[squadtype]=$D$7),ROW(tblunits[unitname])-MIN(ROW(tblunits[unitname]))+1),ROWS($A$83:A173))),"")</f>
        <v/>
      </c>
    </row>
    <row r="174" spans="1:1" x14ac:dyDescent="0.35">
      <c r="A174" s="2" t="str">
        <f t="array" ref="A174">IFERROR(INDEX(tblunits[unitname],SMALL(IF((tblunits[nation]=$B$23)*(tblunits[division]=#REF!)*(tblunits[squadtype]=$D$7),ROW(tblunits[unitname])-MIN(ROW(tblunits[unitname]))+1),ROWS($A$83:A174))),"")</f>
        <v/>
      </c>
    </row>
    <row r="175" spans="1:1" x14ac:dyDescent="0.35">
      <c r="A175" s="2" t="str">
        <f t="array" ref="A175">IFERROR(INDEX(tblunits[unitname],SMALL(IF((tblunits[nation]=$B$23)*(tblunits[division]=#REF!)*(tblunits[squadtype]=$D$7),ROW(tblunits[unitname])-MIN(ROW(tblunits[unitname]))+1),ROWS($A$83:A175))),"")</f>
        <v/>
      </c>
    </row>
    <row r="176" spans="1:1" x14ac:dyDescent="0.35">
      <c r="A176" s="2" t="str">
        <f t="array" ref="A176">IFERROR(INDEX(tblunits[unitname],SMALL(IF((tblunits[nation]=$B$23)*(tblunits[division]=#REF!)*(tblunits[squadtype]=$D$7),ROW(tblunits[unitname])-MIN(ROW(tblunits[unitname]))+1),ROWS($A$83:A176))),"")</f>
        <v/>
      </c>
    </row>
    <row r="177" spans="1:1" x14ac:dyDescent="0.35">
      <c r="A177" s="2" t="str">
        <f t="array" ref="A177">IFERROR(INDEX(tblunits[unitname],SMALL(IF((tblunits[nation]=$B$23)*(tblunits[division]=#REF!)*(tblunits[squadtype]=$D$7),ROW(tblunits[unitname])-MIN(ROW(tblunits[unitname]))+1),ROWS($A$83:A177))),"")</f>
        <v/>
      </c>
    </row>
    <row r="178" spans="1:1" x14ac:dyDescent="0.35">
      <c r="A178" s="2" t="str">
        <f t="array" ref="A178">IFERROR(INDEX(tblunits[unitname],SMALL(IF((tblunits[nation]=$B$23)*(tblunits[division]=#REF!)*(tblunits[squadtype]=$D$7),ROW(tblunits[unitname])-MIN(ROW(tblunits[unitname]))+1),ROWS($A$83:A178))),"")</f>
        <v/>
      </c>
    </row>
    <row r="179" spans="1:1" x14ac:dyDescent="0.35">
      <c r="A179" s="2" t="str">
        <f t="array" ref="A179">IFERROR(INDEX(tblunits[unitname],SMALL(IF((tblunits[nation]=$B$23)*(tblunits[division]=#REF!)*(tblunits[squadtype]=$D$7),ROW(tblunits[unitname])-MIN(ROW(tblunits[unitname]))+1),ROWS($A$83:A179))),"")</f>
        <v/>
      </c>
    </row>
    <row r="180" spans="1:1" x14ac:dyDescent="0.35">
      <c r="A180" s="2" t="str">
        <f t="array" ref="A180">IFERROR(INDEX(tblunits[unitname],SMALL(IF((tblunits[nation]=$B$23)*(tblunits[division]=#REF!)*(tblunits[squadtype]=$D$7),ROW(tblunits[unitname])-MIN(ROW(tblunits[unitname]))+1),ROWS($A$83:A180))),"")</f>
        <v/>
      </c>
    </row>
    <row r="181" spans="1:1" x14ac:dyDescent="0.35">
      <c r="A181" s="2" t="str">
        <f t="array" ref="A181">IFERROR(INDEX(tblunits[unitname],SMALL(IF((tblunits[nation]=$B$23)*(tblunits[division]=#REF!)*(tblunits[squadtype]=$D$7),ROW(tblunits[unitname])-MIN(ROW(tblunits[unitname]))+1),ROWS($A$83:A181))),"")</f>
        <v/>
      </c>
    </row>
    <row r="182" spans="1:1" x14ac:dyDescent="0.35">
      <c r="A182" s="2" t="str">
        <f t="array" ref="A182">IFERROR(INDEX(tblunits[unitname],SMALL(IF((tblunits[nation]=$B$23)*(tblunits[division]=#REF!)*(tblunits[squadtype]=$D$7),ROW(tblunits[unitname])-MIN(ROW(tblunits[unitname]))+1),ROWS($A$83:A182))),"")</f>
        <v/>
      </c>
    </row>
    <row r="183" spans="1:1" x14ac:dyDescent="0.35">
      <c r="A183" s="2" t="str">
        <f t="array" ref="A183">IFERROR(INDEX(tblunits[unitname],SMALL(IF((tblunits[nation]=$B$23)*(tblunits[division]=#REF!)*(tblunits[squadtype]=$D$7),ROW(tblunits[unitname])-MIN(ROW(tblunits[unitname]))+1),ROWS($A$83:A183))),"")</f>
        <v/>
      </c>
    </row>
    <row r="184" spans="1:1" x14ac:dyDescent="0.35">
      <c r="A184" s="2" t="str">
        <f t="array" ref="A184">IFERROR(INDEX(tblunits[unitname],SMALL(IF((tblunits[nation]=$B$23)*(tblunits[division]=#REF!)*(tblunits[squadtype]=$D$7),ROW(tblunits[unitname])-MIN(ROW(tblunits[unitname]))+1),ROWS($A$83:A184))),"")</f>
        <v/>
      </c>
    </row>
    <row r="185" spans="1:1" x14ac:dyDescent="0.35">
      <c r="A185" s="2" t="str">
        <f t="array" ref="A185">IFERROR(INDEX(tblunits[unitname],SMALL(IF((tblunits[nation]=$B$23)*(tblunits[division]=#REF!)*(tblunits[squadtype]=$D$7),ROW(tblunits[unitname])-MIN(ROW(tblunits[unitname]))+1),ROWS($A$83:A185))),"")</f>
        <v/>
      </c>
    </row>
    <row r="186" spans="1:1" x14ac:dyDescent="0.35">
      <c r="A186" s="2" t="str">
        <f t="array" ref="A186">IFERROR(INDEX(tblunits[unitname],SMALL(IF((tblunits[nation]=$B$23)*(tblunits[division]=#REF!)*(tblunits[squadtype]=$D$7),ROW(tblunits[unitname])-MIN(ROW(tblunits[unitname]))+1),ROWS($A$83:A186))),"")</f>
        <v/>
      </c>
    </row>
    <row r="187" spans="1:1" x14ac:dyDescent="0.35">
      <c r="A187" s="2" t="str">
        <f t="array" ref="A187">IFERROR(INDEX(tblunits[unitname],SMALL(IF((tblunits[nation]=$B$23)*(tblunits[division]=#REF!)*(tblunits[squadtype]=$D$7),ROW(tblunits[unitname])-MIN(ROW(tblunits[unitname]))+1),ROWS($A$83:A187))),"")</f>
        <v/>
      </c>
    </row>
    <row r="188" spans="1:1" x14ac:dyDescent="0.35">
      <c r="A188" s="2" t="str">
        <f t="array" ref="A188">IFERROR(INDEX(tblunits[unitname],SMALL(IF((tblunits[nation]=$B$23)*(tblunits[division]=#REF!)*(tblunits[squadtype]=$D$7),ROW(tblunits[unitname])-MIN(ROW(tblunits[unitname]))+1),ROWS($A$83:A188))),"")</f>
        <v/>
      </c>
    </row>
    <row r="189" spans="1:1" x14ac:dyDescent="0.35">
      <c r="A189" s="2" t="str">
        <f t="array" ref="A189">IFERROR(INDEX(tblunits[unitname],SMALL(IF((tblunits[nation]=$B$23)*(tblunits[division]=#REF!)*(tblunits[squadtype]=$D$7),ROW(tblunits[unitname])-MIN(ROW(tblunits[unitname]))+1),ROWS($A$83:A189))),"")</f>
        <v/>
      </c>
    </row>
    <row r="190" spans="1:1" x14ac:dyDescent="0.35">
      <c r="A190" s="2" t="str">
        <f t="array" ref="A190">IFERROR(INDEX(tblunits[unitname],SMALL(IF((tblunits[nation]=$B$23)*(tblunits[division]=#REF!)*(tblunits[squadtype]=$D$7),ROW(tblunits[unitname])-MIN(ROW(tblunits[unitname]))+1),ROWS($A$83:A190))),"")</f>
        <v/>
      </c>
    </row>
    <row r="191" spans="1:1" x14ac:dyDescent="0.35">
      <c r="A191" s="2" t="str">
        <f t="array" ref="A191">IFERROR(INDEX(tblunits[unitname],SMALL(IF((tblunits[nation]=$B$23)*(tblunits[division]=#REF!)*(tblunits[squadtype]=$D$7),ROW(tblunits[unitname])-MIN(ROW(tblunits[unitname]))+1),ROWS($A$83:A191))),"")</f>
        <v/>
      </c>
    </row>
    <row r="192" spans="1:1" x14ac:dyDescent="0.35">
      <c r="A192" s="2" t="str">
        <f t="array" ref="A192">IFERROR(INDEX(tblunits[unitname],SMALL(IF((tblunits[nation]=$B$23)*(tblunits[division]=#REF!)*(tblunits[squadtype]=$D$7),ROW(tblunits[unitname])-MIN(ROW(tblunits[unitname]))+1),ROWS($A$83:A192))),"")</f>
        <v/>
      </c>
    </row>
    <row r="193" spans="1:1" x14ac:dyDescent="0.35">
      <c r="A193" s="2" t="str">
        <f t="array" ref="A193">IFERROR(INDEX(tblunits[unitname],SMALL(IF((tblunits[nation]=$B$23)*(tblunits[division]=#REF!)*(tblunits[squadtype]=$D$7),ROW(tblunits[unitname])-MIN(ROW(tblunits[unitname]))+1),ROWS($A$83:A193))),"")</f>
        <v/>
      </c>
    </row>
    <row r="194" spans="1:1" x14ac:dyDescent="0.35">
      <c r="A194" s="2" t="str">
        <f t="array" ref="A194">IFERROR(INDEX(tblunits[unitname],SMALL(IF((tblunits[nation]=$B$23)*(tblunits[division]=#REF!)*(tblunits[squadtype]=$D$7),ROW(tblunits[unitname])-MIN(ROW(tblunits[unitname]))+1),ROWS($A$83:A194))),"")</f>
        <v/>
      </c>
    </row>
    <row r="195" spans="1:1" x14ac:dyDescent="0.35">
      <c r="A195" s="2" t="str">
        <f t="array" ref="A195">IFERROR(INDEX(tblunits[unitname],SMALL(IF((tblunits[nation]=$B$23)*(tblunits[division]=#REF!)*(tblunits[squadtype]=$D$7),ROW(tblunits[unitname])-MIN(ROW(tblunits[unitname]))+1),ROWS($A$83:A195))),"")</f>
        <v/>
      </c>
    </row>
    <row r="196" spans="1:1" x14ac:dyDescent="0.35">
      <c r="A196" s="2" t="str">
        <f t="array" ref="A196">IFERROR(INDEX(tblunits[unitname],SMALL(IF((tblunits[nation]=$B$23)*(tblunits[division]=#REF!)*(tblunits[squadtype]=$D$7),ROW(tblunits[unitname])-MIN(ROW(tblunits[unitname]))+1),ROWS($A$83:A196))),"")</f>
        <v/>
      </c>
    </row>
    <row r="197" spans="1:1" x14ac:dyDescent="0.35">
      <c r="A197" s="2" t="str">
        <f t="array" ref="A197">IFERROR(INDEX(tblunits[unitname],SMALL(IF((tblunits[nation]=$B$23)*(tblunits[division]=#REF!)*(tblunits[squadtype]=$D$7),ROW(tblunits[unitname])-MIN(ROW(tblunits[unitname]))+1),ROWS($A$83:A197))),"")</f>
        <v/>
      </c>
    </row>
    <row r="198" spans="1:1" x14ac:dyDescent="0.35">
      <c r="A198" s="2" t="str">
        <f t="array" ref="A198">IFERROR(INDEX(tblunits[unitname],SMALL(IF((tblunits[nation]=$B$23)*(tblunits[division]=#REF!)*(tblunits[squadtype]=$D$7),ROW(tblunits[unitname])-MIN(ROW(tblunits[unitname]))+1),ROWS($A$83:A198))),"")</f>
        <v/>
      </c>
    </row>
    <row r="199" spans="1:1" x14ac:dyDescent="0.35">
      <c r="A199" s="2" t="str">
        <f t="array" ref="A199">IFERROR(INDEX(tblunits[unitname],SMALL(IF((tblunits[nation]=$B$23)*(tblunits[division]=#REF!)*(tblunits[squadtype]=$D$7),ROW(tblunits[unitname])-MIN(ROW(tblunits[unitname]))+1),ROWS($A$83:A199))),"")</f>
        <v/>
      </c>
    </row>
    <row r="200" spans="1:1" x14ac:dyDescent="0.35">
      <c r="A200" s="2" t="str">
        <f t="array" ref="A200">IFERROR(INDEX(tblunits[unitname],SMALL(IF((tblunits[nation]=$B$23)*(tblunits[division]=#REF!)*(tblunits[squadtype]=$D$7),ROW(tblunits[unitname])-MIN(ROW(tblunits[unitname]))+1),ROWS($A$83:A200))),"")</f>
        <v/>
      </c>
    </row>
    <row r="201" spans="1:1" x14ac:dyDescent="0.35">
      <c r="A201" s="2" t="str">
        <f t="array" ref="A201">IFERROR(INDEX(tblunits[unitname],SMALL(IF((tblunits[nation]=$B$23)*(tblunits[division]=#REF!)*(tblunits[squadtype]=$D$7),ROW(tblunits[unitname])-MIN(ROW(tblunits[unitname]))+1),ROWS($A$83:A201))),"")</f>
        <v/>
      </c>
    </row>
    <row r="202" spans="1:1" x14ac:dyDescent="0.35">
      <c r="A202" s="2" t="str">
        <f t="array" ref="A202">IFERROR(INDEX(tblunits[unitname],SMALL(IF((tblunits[nation]=$B$23)*(tblunits[division]=#REF!)*(tblunits[squadtype]=$D$7),ROW(tblunits[unitname])-MIN(ROW(tblunits[unitname]))+1),ROWS($A$83:A202))),"")</f>
        <v/>
      </c>
    </row>
    <row r="203" spans="1:1" x14ac:dyDescent="0.35">
      <c r="A203" s="2" t="str">
        <f t="array" ref="A203">IFERROR(INDEX(tblunits[unitname],SMALL(IF((tblunits[nation]=$B$23)*(tblunits[division]=#REF!)*(tblunits[squadtype]=$D$7),ROW(tblunits[unitname])-MIN(ROW(tblunits[unitname]))+1),ROWS($A$83:A203))),"")</f>
        <v/>
      </c>
    </row>
    <row r="204" spans="1:1" x14ac:dyDescent="0.35">
      <c r="A204" s="2" t="str">
        <f t="array" ref="A204">IFERROR(INDEX(tblunits[unitname],SMALL(IF((tblunits[nation]=$B$23)*(tblunits[division]=#REF!)*(tblunits[squadtype]=$D$7),ROW(tblunits[unitname])-MIN(ROW(tblunits[unitname]))+1),ROWS($A$83:A204))),"")</f>
        <v/>
      </c>
    </row>
    <row r="205" spans="1:1" x14ac:dyDescent="0.35">
      <c r="A205" s="2" t="str">
        <f t="array" ref="A205">IFERROR(INDEX(tblunits[unitname],SMALL(IF((tblunits[nation]=$B$23)*(tblunits[division]=#REF!)*(tblunits[squadtype]=$D$7),ROW(tblunits[unitname])-MIN(ROW(tblunits[unitname]))+1),ROWS($A$83:A205))),"")</f>
        <v/>
      </c>
    </row>
    <row r="206" spans="1:1" x14ac:dyDescent="0.35">
      <c r="A206" s="2" t="str">
        <f t="array" ref="A206">IFERROR(INDEX(tblunits[unitname],SMALL(IF((tblunits[nation]=$B$23)*(tblunits[division]=#REF!)*(tblunits[squadtype]=$D$7),ROW(tblunits[unitname])-MIN(ROW(tblunits[unitname]))+1),ROWS($A$83:A206))),"")</f>
        <v/>
      </c>
    </row>
    <row r="207" spans="1:1" x14ac:dyDescent="0.35">
      <c r="A207" s="2" t="str">
        <f t="array" ref="A207">IFERROR(INDEX(tblunits[unitname],SMALL(IF((tblunits[nation]=$B$23)*(tblunits[division]=#REF!)*(tblunits[squadtype]=$D$7),ROW(tblunits[unitname])-MIN(ROW(tblunits[unitname]))+1),ROWS($A$83:A207))),"")</f>
        <v/>
      </c>
    </row>
    <row r="208" spans="1:1" x14ac:dyDescent="0.35">
      <c r="A208" s="2" t="str">
        <f t="array" ref="A208">IFERROR(INDEX(tblunits[unitname],SMALL(IF((tblunits[nation]=$B$23)*(tblunits[division]=#REF!)*(tblunits[squadtype]=$D$7),ROW(tblunits[unitname])-MIN(ROW(tblunits[unitname]))+1),ROWS($A$83:A208))),"")</f>
        <v/>
      </c>
    </row>
    <row r="209" spans="1:1" x14ac:dyDescent="0.35">
      <c r="A209" s="2" t="str">
        <f t="array" ref="A209">IFERROR(INDEX(tblunits[unitname],SMALL(IF((tblunits[nation]=$B$23)*(tblunits[division]=#REF!)*(tblunits[squadtype]=$D$7),ROW(tblunits[unitname])-MIN(ROW(tblunits[unitname]))+1),ROWS($A$83:A209))),"")</f>
        <v/>
      </c>
    </row>
    <row r="210" spans="1:1" x14ac:dyDescent="0.35">
      <c r="A210" s="2" t="str">
        <f t="array" ref="A210">IFERROR(INDEX(tblunits[unitname],SMALL(IF((tblunits[nation]=$B$23)*(tblunits[division]=#REF!)*(tblunits[squadtype]=$D$7),ROW(tblunits[unitname])-MIN(ROW(tblunits[unitname]))+1),ROWS($A$83:A210))),"")</f>
        <v/>
      </c>
    </row>
    <row r="211" spans="1:1" x14ac:dyDescent="0.35">
      <c r="A211" s="2" t="str">
        <f t="array" ref="A211">IFERROR(INDEX(tblunits[unitname],SMALL(IF((tblunits[nation]=$B$23)*(tblunits[division]=#REF!)*(tblunits[squadtype]=$D$7),ROW(tblunits[unitname])-MIN(ROW(tblunits[unitname]))+1),ROWS($A$83:A211))),"")</f>
        <v/>
      </c>
    </row>
    <row r="212" spans="1:1" x14ac:dyDescent="0.35">
      <c r="A212" s="2" t="str">
        <f t="array" ref="A212">IFERROR(INDEX(tblunits[unitname],SMALL(IF((tblunits[nation]=$B$23)*(tblunits[division]=#REF!)*(tblunits[squadtype]=$D$7),ROW(tblunits[unitname])-MIN(ROW(tblunits[unitname]))+1),ROWS($A$83:A212))),"")</f>
        <v/>
      </c>
    </row>
    <row r="213" spans="1:1" x14ac:dyDescent="0.35">
      <c r="A213" s="2" t="str">
        <f t="array" ref="A213">IFERROR(INDEX(tblunits[unitname],SMALL(IF((tblunits[nation]=$B$23)*(tblunits[division]=#REF!)*(tblunits[squadtype]=$D$7),ROW(tblunits[unitname])-MIN(ROW(tblunits[unitname]))+1),ROWS($A$83:A213))),"")</f>
        <v/>
      </c>
    </row>
    <row r="214" spans="1:1" x14ac:dyDescent="0.35">
      <c r="A214" s="2" t="str">
        <f t="array" ref="A214">IFERROR(INDEX(tblunits[unitname],SMALL(IF((tblunits[nation]=$B$23)*(tblunits[division]=#REF!)*(tblunits[squadtype]=$D$7),ROW(tblunits[unitname])-MIN(ROW(tblunits[unitname]))+1),ROWS($A$83:A214))),"")</f>
        <v/>
      </c>
    </row>
    <row r="215" spans="1:1" x14ac:dyDescent="0.35">
      <c r="A215" s="2" t="str">
        <f t="array" ref="A215">IFERROR(INDEX(tblunits[unitname],SMALL(IF((tblunits[nation]=$B$23)*(tblunits[division]=#REF!)*(tblunits[squadtype]=$D$7),ROW(tblunits[unitname])-MIN(ROW(tblunits[unitname]))+1),ROWS($A$83:A215))),"")</f>
        <v/>
      </c>
    </row>
    <row r="216" spans="1:1" x14ac:dyDescent="0.35">
      <c r="A216" s="2" t="str">
        <f t="array" ref="A216">IFERROR(INDEX(tblunits[unitname],SMALL(IF((tblunits[nation]=$B$23)*(tblunits[division]=#REF!)*(tblunits[squadtype]=$D$7),ROW(tblunits[unitname])-MIN(ROW(tblunits[unitname]))+1),ROWS($A$83:A216))),"")</f>
        <v/>
      </c>
    </row>
    <row r="217" spans="1:1" x14ac:dyDescent="0.35">
      <c r="A217" s="2" t="str">
        <f t="array" ref="A217">IFERROR(INDEX(tblunits[unitname],SMALL(IF((tblunits[nation]=$B$23)*(tblunits[division]=#REF!)*(tblunits[squadtype]=$D$7),ROW(tblunits[unitname])-MIN(ROW(tblunits[unitname]))+1),ROWS($A$83:A217))),"")</f>
        <v/>
      </c>
    </row>
    <row r="218" spans="1:1" x14ac:dyDescent="0.35">
      <c r="A218" s="2" t="str">
        <f t="array" ref="A218">IFERROR(INDEX(tblunits[unitname],SMALL(IF((tblunits[nation]=$B$23)*(tblunits[division]=#REF!)*(tblunits[squadtype]=$D$7),ROW(tblunits[unitname])-MIN(ROW(tblunits[unitname]))+1),ROWS($A$83:A218))),"")</f>
        <v/>
      </c>
    </row>
    <row r="219" spans="1:1" x14ac:dyDescent="0.35">
      <c r="A219" s="2" t="str">
        <f t="array" ref="A219">IFERROR(INDEX(tblunits[unitname],SMALL(IF((tblunits[nation]=$B$23)*(tblunits[division]=#REF!)*(tblunits[squadtype]=$D$7),ROW(tblunits[unitname])-MIN(ROW(tblunits[unitname]))+1),ROWS($A$83:A219))),"")</f>
        <v/>
      </c>
    </row>
    <row r="220" spans="1:1" x14ac:dyDescent="0.35">
      <c r="A220" s="2" t="str">
        <f t="array" ref="A220">IFERROR(INDEX(tblunits[unitname],SMALL(IF((tblunits[nation]=$B$23)*(tblunits[division]=#REF!)*(tblunits[squadtype]=$D$7),ROW(tblunits[unitname])-MIN(ROW(tblunits[unitname]))+1),ROWS($A$83:A220))),"")</f>
        <v/>
      </c>
    </row>
    <row r="221" spans="1:1" x14ac:dyDescent="0.35">
      <c r="A221" s="2" t="str">
        <f t="array" ref="A221">IFERROR(INDEX(tblunits[unitname],SMALL(IF((tblunits[nation]=$B$23)*(tblunits[division]=#REF!)*(tblunits[squadtype]=$D$7),ROW(tblunits[unitname])-MIN(ROW(tblunits[unitname]))+1),ROWS($A$83:A221))),"")</f>
        <v/>
      </c>
    </row>
    <row r="222" spans="1:1" x14ac:dyDescent="0.35">
      <c r="A222" s="2" t="str">
        <f t="array" ref="A222">IFERROR(INDEX(tblunits[unitname],SMALL(IF((tblunits[nation]=$B$23)*(tblunits[division]=#REF!)*(tblunits[squadtype]=$D$7),ROW(tblunits[unitname])-MIN(ROW(tblunits[unitname]))+1),ROWS($A$83:A222))),"")</f>
        <v/>
      </c>
    </row>
  </sheetData>
  <mergeCells count="5">
    <mergeCell ref="H21:H25"/>
    <mergeCell ref="A26:A28"/>
    <mergeCell ref="A29:A31"/>
    <mergeCell ref="A32:A34"/>
    <mergeCell ref="A35:A37"/>
  </mergeCells>
  <conditionalFormatting sqref="J40">
    <cfRule type="expression" dxfId="394" priority="65">
      <formula>IF($J$40&lt;$A$16,FALSE,IF($J$40&lt;$A$16*$B$15,TRUE,FALSE))</formula>
    </cfRule>
    <cfRule type="cellIs" dxfId="393" priority="66" operator="greaterThan">
      <formula>$A$16*$B$15</formula>
    </cfRule>
    <cfRule type="cellIs" dxfId="392" priority="67" operator="lessThan">
      <formula>$A$16</formula>
    </cfRule>
  </conditionalFormatting>
  <conditionalFormatting sqref="E4">
    <cfRule type="expression" dxfId="391" priority="53">
      <formula>AND(D2="special_forces_3",D4="asset_team")</formula>
    </cfRule>
    <cfRule type="expression" dxfId="390" priority="54">
      <formula>AND(D2="special_forces_2",D4="asset_team")</formula>
    </cfRule>
    <cfRule type="expression" dxfId="389" priority="64">
      <formula>IF(D2="asset_squad",TRUE,FALSE)</formula>
    </cfRule>
  </conditionalFormatting>
  <conditionalFormatting sqref="E9">
    <cfRule type="expression" dxfId="388" priority="49">
      <formula>AND(D7="special_forces_3",D9="asset_team")</formula>
    </cfRule>
    <cfRule type="expression" dxfId="387" priority="50">
      <formula>AND(D7="special_forces_2",D9="asset_team")</formula>
    </cfRule>
    <cfRule type="expression" dxfId="386" priority="51">
      <formula>AND(D7="special_forces_1",D9="asset_team")</formula>
    </cfRule>
    <cfRule type="expression" dxfId="385" priority="52">
      <formula>IF(D7="asset_squad",TRUE,FALSE)</formula>
    </cfRule>
  </conditionalFormatting>
  <conditionalFormatting sqref="E14">
    <cfRule type="expression" dxfId="384" priority="45">
      <formula>AND(D12="special_forces_3",D14="asset_team")</formula>
    </cfRule>
    <cfRule type="expression" dxfId="383" priority="46">
      <formula>AND(D12="special_forces_2",D14="asset_team")</formula>
    </cfRule>
    <cfRule type="expression" dxfId="382" priority="47">
      <formula>AND(D12="special_forces_1",D14="asset_team")</formula>
    </cfRule>
    <cfRule type="expression" dxfId="381" priority="48">
      <formula>IF(D12="asset_squad",TRUE,FALSE)</formula>
    </cfRule>
  </conditionalFormatting>
  <conditionalFormatting sqref="E19">
    <cfRule type="expression" dxfId="380" priority="41">
      <formula>AND(D17="special_forces_3",D19="asset_team")</formula>
    </cfRule>
    <cfRule type="expression" dxfId="379" priority="42">
      <formula>AND(D17="special_forces_2",D19="asset_team")</formula>
    </cfRule>
    <cfRule type="expression" dxfId="378" priority="43">
      <formula>AND(D17="special_forces_1",D19="asset_team")</formula>
    </cfRule>
    <cfRule type="expression" dxfId="377" priority="44">
      <formula>IF(D17="asset_squad",TRUE,FALSE)</formula>
    </cfRule>
  </conditionalFormatting>
  <conditionalFormatting sqref="E24">
    <cfRule type="expression" dxfId="376" priority="37">
      <formula>AND(D22="special_forces_3",D24="asset_team")</formula>
    </cfRule>
    <cfRule type="expression" dxfId="375" priority="38">
      <formula>AND(D22="special_forces_2",D24="asset_team")</formula>
    </cfRule>
    <cfRule type="expression" dxfId="374" priority="39">
      <formula>AND(D22="special_forces_1",D24="asset_team")</formula>
    </cfRule>
    <cfRule type="expression" dxfId="373" priority="40">
      <formula>IF(D22="asset_squad",TRUE,FALSE)</formula>
    </cfRule>
  </conditionalFormatting>
  <conditionalFormatting sqref="E29">
    <cfRule type="expression" dxfId="372" priority="33">
      <formula>AND(D27="special_forces_3",D29="asset_team")</formula>
    </cfRule>
    <cfRule type="expression" dxfId="371" priority="34">
      <formula>AND(D27="special_forces_2",D29="asset_team")</formula>
    </cfRule>
    <cfRule type="expression" dxfId="370" priority="35">
      <formula>AND(D27="special_forces_1",D29="asset_team")</formula>
    </cfRule>
    <cfRule type="expression" dxfId="369" priority="36">
      <formula>IF(D27="asset_squad",TRUE,FALSE)</formula>
    </cfRule>
  </conditionalFormatting>
  <conditionalFormatting sqref="E34">
    <cfRule type="expression" dxfId="368" priority="29">
      <formula>AND(D32="special_forces_3",D34="asset_team")</formula>
    </cfRule>
    <cfRule type="expression" dxfId="367" priority="30">
      <formula>AND(D32="special_forces_2",D34="asset_team")</formula>
    </cfRule>
    <cfRule type="expression" dxfId="366" priority="31">
      <formula>AND(D32="special_forces_1",D34="asset_team")</formula>
    </cfRule>
    <cfRule type="expression" dxfId="365" priority="32">
      <formula>IF(D32="asset_squad",TRUE,FALSE)</formula>
    </cfRule>
  </conditionalFormatting>
  <conditionalFormatting sqref="E39">
    <cfRule type="expression" dxfId="364" priority="25">
      <formula>AND(D37="special_forces_3",D39="asset_team")</formula>
    </cfRule>
    <cfRule type="expression" dxfId="363" priority="26">
      <formula>AND(D37="special_forces_2",D39="asset_team")</formula>
    </cfRule>
    <cfRule type="expression" dxfId="362" priority="27">
      <formula>AND(D37="special_forces_1",D39="asset_team")</formula>
    </cfRule>
    <cfRule type="expression" dxfId="361" priority="28">
      <formula>IF(D37="asset_squad",TRUE,FALSE)</formula>
    </cfRule>
  </conditionalFormatting>
  <conditionalFormatting sqref="E4">
    <cfRule type="expression" dxfId="360" priority="62">
      <formula>AND(D2="special_forces_1",D4="asset_team")</formula>
    </cfRule>
  </conditionalFormatting>
  <conditionalFormatting sqref="E3">
    <cfRule type="expression" dxfId="359" priority="22">
      <formula>IF(D2="special_forces_2",TRUE,FALSE)</formula>
    </cfRule>
    <cfRule type="expression" dxfId="358" priority="24">
      <formula>IF(D2="special_forces_1",TRUE,FALSE)</formula>
    </cfRule>
  </conditionalFormatting>
  <conditionalFormatting sqref="E3">
    <cfRule type="expression" dxfId="357" priority="23">
      <formula>AND(D1="special_forces_1",D3="asset_team")</formula>
    </cfRule>
  </conditionalFormatting>
  <conditionalFormatting sqref="E8">
    <cfRule type="expression" dxfId="356" priority="19">
      <formula>IF(D7="special_forces_2",TRUE,FALSE)</formula>
    </cfRule>
    <cfRule type="expression" dxfId="355" priority="21">
      <formula>IF(D7="special_forces_1",TRUE,FALSE)</formula>
    </cfRule>
  </conditionalFormatting>
  <conditionalFormatting sqref="E8">
    <cfRule type="expression" dxfId="354" priority="20">
      <formula>AND(D6="special_forces_1",D8="asset_team")</formula>
    </cfRule>
  </conditionalFormatting>
  <conditionalFormatting sqref="E13">
    <cfRule type="expression" dxfId="353" priority="16">
      <formula>IF(D12="special_forces_2",TRUE,FALSE)</formula>
    </cfRule>
    <cfRule type="expression" dxfId="352" priority="18">
      <formula>IF(D12="special_forces_1",TRUE,FALSE)</formula>
    </cfRule>
  </conditionalFormatting>
  <conditionalFormatting sqref="E13">
    <cfRule type="expression" dxfId="351" priority="17">
      <formula>AND(D11="special_forces_1",D13="asset_team")</formula>
    </cfRule>
  </conditionalFormatting>
  <conditionalFormatting sqref="E18">
    <cfRule type="expression" dxfId="350" priority="13">
      <formula>IF(D17="special_forces_2",TRUE,FALSE)</formula>
    </cfRule>
    <cfRule type="expression" dxfId="349" priority="15">
      <formula>IF(D17="special_forces_1",TRUE,FALSE)</formula>
    </cfRule>
  </conditionalFormatting>
  <conditionalFormatting sqref="E18">
    <cfRule type="expression" dxfId="348" priority="14">
      <formula>AND(D16="special_forces_1",D18="asset_team")</formula>
    </cfRule>
  </conditionalFormatting>
  <conditionalFormatting sqref="E23">
    <cfRule type="expression" dxfId="347" priority="10">
      <formula>IF(D22="special_forces_2",TRUE,FALSE)</formula>
    </cfRule>
    <cfRule type="expression" dxfId="346" priority="12">
      <formula>IF(D22="special_forces_1",TRUE,FALSE)</formula>
    </cfRule>
  </conditionalFormatting>
  <conditionalFormatting sqref="E23">
    <cfRule type="expression" dxfId="345" priority="11">
      <formula>AND(D21="special_forces_1",D23="asset_team")</formula>
    </cfRule>
  </conditionalFormatting>
  <conditionalFormatting sqref="E28">
    <cfRule type="expression" dxfId="344" priority="7">
      <formula>IF(D27="special_forces_2",TRUE,FALSE)</formula>
    </cfRule>
    <cfRule type="expression" dxfId="343" priority="9">
      <formula>IF(D27="special_forces_1",TRUE,FALSE)</formula>
    </cfRule>
  </conditionalFormatting>
  <conditionalFormatting sqref="E28">
    <cfRule type="expression" dxfId="342" priority="8">
      <formula>AND(D26="special_forces_1",D28="asset_team")</formula>
    </cfRule>
  </conditionalFormatting>
  <conditionalFormatting sqref="E33">
    <cfRule type="expression" dxfId="341" priority="4">
      <formula>IF(D32="special_forces_2",TRUE,FALSE)</formula>
    </cfRule>
    <cfRule type="expression" dxfId="340" priority="6">
      <formula>IF(D32="special_forces_1",TRUE,FALSE)</formula>
    </cfRule>
  </conditionalFormatting>
  <conditionalFormatting sqref="E33">
    <cfRule type="expression" dxfId="339" priority="5">
      <formula>AND(D31="special_forces_1",D33="asset_team")</formula>
    </cfRule>
  </conditionalFormatting>
  <conditionalFormatting sqref="E38">
    <cfRule type="expression" dxfId="338" priority="1">
      <formula>IF(D37="special_forces_2",TRUE,FALSE)</formula>
    </cfRule>
    <cfRule type="expression" dxfId="337" priority="3">
      <formula>IF(D37="special_forces_1",TRUE,FALSE)</formula>
    </cfRule>
  </conditionalFormatting>
  <conditionalFormatting sqref="E38">
    <cfRule type="expression" dxfId="336" priority="2">
      <formula>AND(D36="special_forces_1",D38="asset_team")</formula>
    </cfRule>
  </conditionalFormatting>
  <dataValidations count="1">
    <dataValidation type="list" allowBlank="1" showInputMessage="1" showErrorMessage="1" sqref="D32 D2 D7 D12 D17 D22 D27 D37">
      <formula1>"standard_squad,Asset_Squad,feildgun_squad,special_forces_1,special_forces_2"</formula1>
    </dataValidation>
  </dataValidations>
  <pageMargins left="3.937007874015748E-2" right="0" top="3.937007874015748E-2" bottom="0" header="0" footer="0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clearsquad3">
                <anchor moveWithCells="1" sizeWithCells="1">
                  <from>
                    <xdr:col>2</xdr:col>
                    <xdr:colOff>635000</xdr:colOff>
                    <xdr:row>19</xdr:row>
                    <xdr:rowOff>158750</xdr:rowOff>
                  </from>
                  <to>
                    <xdr:col>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Button 3">
              <controlPr defaultSize="0" print="0" autoFill="0" autoPict="0" macro="[0]!ClearAllSquadsAndVehicles">
                <anchor moveWithCells="1" sizeWithCells="1">
                  <from>
                    <xdr:col>0</xdr:col>
                    <xdr:colOff>12700</xdr:colOff>
                    <xdr:row>22</xdr:row>
                    <xdr:rowOff>12700</xdr:rowOff>
                  </from>
                  <to>
                    <xdr:col>0</xdr:col>
                    <xdr:colOff>1873250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6" name="Button 4">
              <controlPr defaultSize="0" print="0" autoFill="0" autoPict="0" macro="[0]!validatearmyandsendtosetup">
                <anchor moveWithCells="1" sizeWithCells="1">
                  <from>
                    <xdr:col>0</xdr:col>
                    <xdr:colOff>0</xdr:colOff>
                    <xdr:row>18</xdr:row>
                    <xdr:rowOff>177800</xdr:rowOff>
                  </from>
                  <to>
                    <xdr:col>0</xdr:col>
                    <xdr:colOff>1873250</xdr:colOff>
                    <xdr:row>21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7" name="Button 5">
              <controlPr defaultSize="0" print="0" autoFill="0" autoPict="0" macro="[0]!cleardefences">
                <anchor moveWithCells="1" siz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8" name="Button 6">
              <controlPr defaultSize="0" print="0" autoFill="0" autoPict="0" macro="[0]!clearsquadBGC">
                <anchor moveWithCells="1" sizeWithCells="1">
                  <from>
                    <xdr:col>2</xdr:col>
                    <xdr:colOff>596900</xdr:colOff>
                    <xdr:row>4</xdr:row>
                    <xdr:rowOff>165100</xdr:rowOff>
                  </from>
                  <to>
                    <xdr:col>3</xdr:col>
                    <xdr:colOff>577850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9" name="Button 7">
              <controlPr defaultSize="0" print="0" autoFill="0" autoPict="0" macro="[0]!clearsquad7">
                <anchor moveWithCells="1" sizeWithCells="1">
                  <from>
                    <xdr:col>2</xdr:col>
                    <xdr:colOff>603250</xdr:colOff>
                    <xdr:row>39</xdr:row>
                    <xdr:rowOff>177800</xdr:rowOff>
                  </from>
                  <to>
                    <xdr:col>3</xdr:col>
                    <xdr:colOff>584200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0" name="Button 8">
              <controlPr defaultSize="0" print="0" autoFill="0" autoPict="0" macro="[0]!clearsquad1">
                <anchor moveWithCells="1" sizeWithCells="1">
                  <from>
                    <xdr:col>2</xdr:col>
                    <xdr:colOff>565150</xdr:colOff>
                    <xdr:row>9</xdr:row>
                    <xdr:rowOff>177800</xdr:rowOff>
                  </from>
                  <to>
                    <xdr:col>3</xdr:col>
                    <xdr:colOff>558800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1" name="Button 9">
              <controlPr defaultSize="0" print="0" autoFill="0" autoPict="0" macro="[0]!clearsquad2">
                <anchor moveWithCells="1" sizeWithCells="1">
                  <from>
                    <xdr:col>2</xdr:col>
                    <xdr:colOff>628650</xdr:colOff>
                    <xdr:row>14</xdr:row>
                    <xdr:rowOff>177800</xdr:rowOff>
                  </from>
                  <to>
                    <xdr:col>3</xdr:col>
                    <xdr:colOff>590550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2" name="Button 10">
              <controlPr defaultSize="0" print="0" autoFill="0" autoPict="0" macro="[0]!clearsquad4">
                <anchor moveWithCells="1" sizeWithCells="1">
                  <from>
                    <xdr:col>2</xdr:col>
                    <xdr:colOff>603250</xdr:colOff>
                    <xdr:row>24</xdr:row>
                    <xdr:rowOff>190500</xdr:rowOff>
                  </from>
                  <to>
                    <xdr:col>3</xdr:col>
                    <xdr:colOff>577850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3" name="Button 11">
              <controlPr defaultSize="0" print="0" autoFill="0" autoPict="0" macro="[0]!clearsquad5">
                <anchor moveWithCells="1" sizeWithCells="1">
                  <from>
                    <xdr:col>2</xdr:col>
                    <xdr:colOff>590550</xdr:colOff>
                    <xdr:row>30</xdr:row>
                    <xdr:rowOff>0</xdr:rowOff>
                  </from>
                  <to>
                    <xdr:col>3</xdr:col>
                    <xdr:colOff>558800</xdr:colOff>
                    <xdr:row>30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4" name="Button 12">
              <controlPr defaultSize="0" print="0" autoFill="0" autoPict="0" macro="[0]!clearsquad6">
                <anchor moveWithCells="1" sizeWithCells="1">
                  <from>
                    <xdr:col>2</xdr:col>
                    <xdr:colOff>615950</xdr:colOff>
                    <xdr:row>35</xdr:row>
                    <xdr:rowOff>0</xdr:rowOff>
                  </from>
                  <to>
                    <xdr:col>3</xdr:col>
                    <xdr:colOff>590550</xdr:colOff>
                    <xdr:row>35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'divs nats data base'!$I$2:$I$3</xm:f>
          </x14:formula1>
          <xm:sqref>D14</xm:sqref>
        </x14:dataValidation>
        <x14:dataValidation type="list" allowBlank="1" showInputMessage="1" showErrorMessage="1">
          <x14:formula1>
            <xm:f>'divs nats data base'!$I$2:$I$3</xm:f>
          </x14:formula1>
          <xm:sqref>D19</xm:sqref>
        </x14:dataValidation>
        <x14:dataValidation type="list" allowBlank="1" showInputMessage="1" showErrorMessage="1">
          <x14:formula1>
            <xm:f>'divs nats data base'!$I$2:$I$3</xm:f>
          </x14:formula1>
          <xm:sqref>D24</xm:sqref>
        </x14:dataValidation>
        <x14:dataValidation type="list" allowBlank="1" showInputMessage="1" showErrorMessage="1">
          <x14:formula1>
            <xm:f>'divs nats data base'!$I$2:$I$3</xm:f>
          </x14:formula1>
          <xm:sqref>D29</xm:sqref>
        </x14:dataValidation>
        <x14:dataValidation type="list" allowBlank="1" showInputMessage="1" showErrorMessage="1">
          <x14:formula1>
            <xm:f>'divs nats data base'!$I$2:$I$3</xm:f>
          </x14:formula1>
          <xm:sqref>D34</xm:sqref>
        </x14:dataValidation>
        <x14:dataValidation type="list" allowBlank="1" showInputMessage="1" showErrorMessage="1">
          <x14:formula1>
            <xm:f>'divs nats data base'!$I$2:$I$3</xm:f>
          </x14:formula1>
          <xm:sqref>D39</xm:sqref>
        </x14:dataValidation>
        <x14:dataValidation type="list" allowBlank="1" showInputMessage="1" showErrorMessage="1">
          <x14:formula1>
            <xm:f>'divs nats data base'!$I$2:$I$3</xm:f>
          </x14:formula1>
          <xm:sqref>D9</xm:sqref>
        </x14:dataValidation>
        <x14:dataValidation type="list" allowBlank="1" showInputMessage="1" showErrorMessage="1">
          <x14:formula1>
            <xm:f>INDIRECT(SUBSTITUTE(setup!$B$5 &amp; setup!$B$7 &amp; C5," ",""))</xm:f>
          </x14:formula1>
          <xm:sqref>E5 E20 E15 E25 E30 E35 E40 E10</xm:sqref>
        </x14:dataValidation>
        <x14:dataValidation type="list" allowBlank="1" showInputMessage="1" showErrorMessage="1">
          <x14:formula1>
            <xm:f>'divs nats data base'!$I$2:$I$3</xm:f>
          </x14:formula1>
          <xm:sqref>D4</xm:sqref>
        </x14:dataValidation>
        <x14:dataValidation type="list" allowBlank="1" showInputMessage="1" showErrorMessage="1">
          <x14:formula1>
            <xm:f>'unit calc'!$L$39:$L$41</xm:f>
          </x14:formula1>
          <xm:sqref>A13</xm:sqref>
        </x14:dataValidation>
        <x14:dataValidation type="list" allowBlank="1" showInputMessage="1" showErrorMessage="1">
          <x14:formula1>
            <xm:f>'unit calc'!$A$124:$A$125</xm:f>
          </x14:formula1>
          <xm:sqref>E33 E28 E3 E8 E13 E18 E23 E38</xm:sqref>
        </x14:dataValidation>
        <x14:dataValidation type="list" allowBlank="1" showInputMessage="1" showErrorMessage="1">
          <x14:formula1>
            <xm:f>'SF1'!$F$6:$F$7</xm:f>
          </x14:formula1>
          <xm:sqref>E42</xm:sqref>
        </x14:dataValidation>
        <x14:dataValidation type="list" allowBlank="1" showInputMessage="1" showErrorMessage="1">
          <x14:formula1>
            <xm:f>INDIRECT(SUBSTITUTE(setup!$B$5 &amp; setup!$B$7 &amp; D2," ",""))</xm:f>
          </x14:formula1>
          <xm:sqref>E43 E7 E12 E17 E22 E27 E32 E37 E2 E24 E4 E9 E29 E34 E14 E19 E39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N222"/>
  <sheetViews>
    <sheetView zoomScale="60" zoomScaleNormal="60" workbookViewId="0">
      <selection activeCell="E5" sqref="E5"/>
    </sheetView>
  </sheetViews>
  <sheetFormatPr defaultRowHeight="14.5" x14ac:dyDescent="0.35"/>
  <cols>
    <col min="1" max="1" width="27.08984375" customWidth="1"/>
    <col min="2" max="2" width="2.1796875" customWidth="1"/>
    <col min="3" max="3" width="17.1796875" customWidth="1"/>
    <col min="4" max="4" width="23" bestFit="1" customWidth="1"/>
    <col min="5" max="5" width="23.1796875" bestFit="1" customWidth="1"/>
    <col min="6" max="6" width="9.7265625" bestFit="1" customWidth="1"/>
    <col min="7" max="7" width="51.453125" customWidth="1"/>
    <col min="8" max="8" width="3" customWidth="1"/>
    <col min="9" max="9" width="19.90625" customWidth="1"/>
    <col min="10" max="10" width="8.453125" customWidth="1"/>
    <col min="11" max="11" width="2.453125" customWidth="1"/>
    <col min="12" max="12" width="10.54296875" customWidth="1"/>
  </cols>
  <sheetData>
    <row r="1" spans="1:12" ht="15" thickBot="1" x14ac:dyDescent="0.4">
      <c r="A1">
        <f>setup!B2</f>
        <v>0</v>
      </c>
      <c r="D1" s="18" t="s">
        <v>69</v>
      </c>
      <c r="E1" s="1" t="s">
        <v>28</v>
      </c>
      <c r="F1" s="18" t="s">
        <v>0</v>
      </c>
      <c r="G1" s="1" t="s">
        <v>1</v>
      </c>
      <c r="H1" s="1"/>
      <c r="I1" s="1" t="s">
        <v>374</v>
      </c>
      <c r="J1" s="1" t="s">
        <v>0</v>
      </c>
    </row>
    <row r="2" spans="1:12" ht="15.5" thickTop="1" thickBot="1" x14ac:dyDescent="0.4">
      <c r="A2">
        <f>setup!B3</f>
        <v>0</v>
      </c>
      <c r="C2" s="223" t="s">
        <v>547</v>
      </c>
      <c r="D2" s="277" t="s">
        <v>368</v>
      </c>
      <c r="E2" s="291"/>
      <c r="F2" s="224">
        <f>IF(ISBLANK(E2),0,IF(D2='divs nats data base'!G$2,VLOOKUP(E2,standardsquads[#All],setup!C$9+1,FALSE),IF(D2='divs nats data base'!G$3,VLOOKUP(E2,assetsquads[#All],setup!C$9+1,FALSE),IF(D2='divs nats data base'!G$4,VLOOKUP(E2,feildgunsquads[#All],setup!C$9+1,FALSE),IF(D2='divs nats data base'!G$5,VLOOKUP(E2,built_SF[#All],setup!$C$9+1,FALSE),IF(D2='divs nats data base'!G$6,VLOOKUP(E2,built_SF[#All],setup!$C$9+1,FALSE),IF(D2='divs nats data base'!G$7,VLOOKUP(E2,built_SF[#All],setup!$C$9+1,FALSE),VLOOKUP(E2,crewedtanks[#All],setup!$C$9+1,FALSE))))))))</f>
        <v>0</v>
      </c>
      <c r="G2" s="225" t="str">
        <f ca="1">SUBSTITUTE(
IF(D2='divs nats data base'!G$2,VLOOKUP(E2,standardsquads[#All],3,FALSE),
IF(D2='divs nats data base'!G$3,VLOOKUP(E2,assetsquads[#All],3,FALSE),
IF(D2='divs nats data base'!G$4,VLOOKUP(E2,feildgunsquads[#All],3,FALSE),
IF(D2='divs nats data base'!G$5,VLOOKUP(E2,built_SF[#All],3,FALSE),IF(D2='divs nats data base'!G$6,VLOOKUP(E2,built_SF[#All],3,FALSE),IF(D2='divs nats data base'!G$7,VLOOKUP(E2,built_SF[#All],3,FALSE),"")))))),
"SL","BGC")</f>
        <v>0</v>
      </c>
      <c r="I2" s="68"/>
      <c r="J2" s="17">
        <f>IF(ISBLANK(I2),0,VLOOKUP(I2,crewedtanks[#All],setup!$C$9+1,FALSE))</f>
        <v>0</v>
      </c>
    </row>
    <row r="3" spans="1:12" ht="15" thickBot="1" x14ac:dyDescent="0.4">
      <c r="A3" t="str">
        <f>setup!B5</f>
        <v>USA</v>
      </c>
      <c r="C3" s="76" t="s">
        <v>535</v>
      </c>
      <c r="D3" s="13"/>
      <c r="E3" s="69"/>
      <c r="F3" s="72">
        <f>IF(ISBLANK(E3),0,VLOOKUP(E3,upgrades[#All],setup!C$9+1,FALSE))</f>
        <v>0</v>
      </c>
      <c r="G3" s="105">
        <f ca="1">VLOOKUP(E3,upgrades[#All],2,FALSE)</f>
        <v>0</v>
      </c>
      <c r="I3" s="68"/>
      <c r="J3" s="17">
        <f>IF(ISBLANK(I3),0,VLOOKUP(I3,crewedtanks[#All],setup!$C$9+1,FALSE))</f>
        <v>0</v>
      </c>
    </row>
    <row r="4" spans="1:12" ht="15" thickBot="1" x14ac:dyDescent="0.4">
      <c r="A4" t="str">
        <f>setup!B7</f>
        <v>infantry</v>
      </c>
      <c r="C4" s="76" t="s">
        <v>49</v>
      </c>
      <c r="D4" s="203" t="s">
        <v>504</v>
      </c>
      <c r="E4" s="68"/>
      <c r="F4" s="72">
        <f>IF(ISBLANK(E4),0,IF(D4='divs nats data base'!I$3,VLOOKUP(E4,feildgunassets[#All],setup!C$9+1,FALSE),VLOOKUP(E4,assetteams[#All],setup!C$9+1,FALSE)))</f>
        <v>0</v>
      </c>
      <c r="G4" s="105">
        <f ca="1">IF(D4='divs nats data base'!I2,VLOOKUP(E4,assetteams[#All],3,FALSE),VLOOKUP(E4,feildgunassets[#All],3,FALSE))</f>
        <v>0</v>
      </c>
      <c r="I4" s="68"/>
      <c r="J4" s="17">
        <f>IF(ISBLANK(I4),0,VLOOKUP(I4,crewedtanks[#All],setup!$C$9+1,FALSE))</f>
        <v>0</v>
      </c>
    </row>
    <row r="5" spans="1:12" ht="15" thickBot="1" x14ac:dyDescent="0.4">
      <c r="A5" t="str">
        <f>setup!B9</f>
        <v>trained</v>
      </c>
      <c r="C5" s="76" t="s">
        <v>50</v>
      </c>
      <c r="D5" s="13"/>
      <c r="E5" s="204"/>
      <c r="F5" s="72">
        <f>IF(ISBLANK(E5),0,VLOOKUP(E5,uncrewedvehicles[#All],setup!C$9+1,FALSE))</f>
        <v>0</v>
      </c>
      <c r="G5" s="105">
        <f ca="1">VLOOKUP(E5,uncrewedvehicles[],3,FALSE)</f>
        <v>0</v>
      </c>
      <c r="I5" s="68"/>
      <c r="J5" s="17">
        <f>IF(ISBLANK(I5),0,VLOOKUP(I5,crewedtanks[#All],setup!$C$9+1,FALSE))</f>
        <v>0</v>
      </c>
    </row>
    <row r="6" spans="1:12" ht="15" thickBot="1" x14ac:dyDescent="0.4">
      <c r="A6" s="1" t="s">
        <v>391</v>
      </c>
      <c r="C6" s="226"/>
      <c r="D6" s="226"/>
      <c r="E6" s="227" t="s">
        <v>10</v>
      </c>
      <c r="F6" s="228">
        <f>SUM(F2:F5)</f>
        <v>0</v>
      </c>
      <c r="G6" s="229"/>
      <c r="I6" s="68"/>
      <c r="J6" s="17">
        <f>IF(ISBLANK(I6),0,VLOOKUP(I6,crewedtanks[#All],setup!$C$9+1,FALSE))</f>
        <v>0</v>
      </c>
    </row>
    <row r="7" spans="1:12" ht="15.5" thickTop="1" thickBot="1" x14ac:dyDescent="0.4">
      <c r="A7" s="139"/>
      <c r="C7" s="220" t="s">
        <v>90</v>
      </c>
      <c r="D7" s="221" t="s">
        <v>368</v>
      </c>
      <c r="E7" s="222"/>
      <c r="F7" s="72">
        <f>IF(ISBLANK(E7),0,IF(D7='divs nats data base'!G$2,VLOOKUP(E7,standardsquads[#All],setup!C$9+1,FALSE),IF(D7='divs nats data base'!G$3,VLOOKUP(E7,assetsquads[#All],setup!C$9+1,FALSE),IF(D7='divs nats data base'!G$4,VLOOKUP(E7,feildgunsquads[#All],setup!C$9+1,FALSE),IF(D7='divs nats data base'!G$5,VLOOKUP(E7,built_SF[#All],setup!$C$9+1,FALSE),IF(D7='divs nats data base'!G$6,VLOOKUP(E7,built_SF[#All],setup!$C$9+1,FALSE),IF(D7='divs nats data base'!G$7,VLOOKUP(E7,built_SF[#All],setup!$C$9+1,FALSE))))))))</f>
        <v>0</v>
      </c>
      <c r="G7" s="105">
        <f ca="1">IF(D7='divs nats data base'!G$2,VLOOKUP(E7,standardsquads[#All],3,FALSE),IF(D7='divs nats data base'!G$3,VLOOKUP(E7,assetsquads[#All],3,FALSE),IF(D7='divs nats data base'!G$4,VLOOKUP(E7,feildgunsquads[#All],3,FALSE),IF(D7='divs nats data base'!G$5,VLOOKUP(E7,built_SF[#All],3,FALSE),IF(D7='divs nats data base'!G$6,VLOOKUP(E7,built_SF[#All],3,FALSE),IF(D7='divs nats data base'!G$7,VLOOKUP(E7,built_SF[#All],3,FALSE)))))))</f>
        <v>0</v>
      </c>
      <c r="I7" s="68"/>
      <c r="J7" s="17">
        <f>IF(ISBLANK(I7),0,VLOOKUP(I7,crewedtanks[#All],setup!$C$9+1,FALSE))</f>
        <v>0</v>
      </c>
    </row>
    <row r="8" spans="1:12" ht="15" thickBot="1" x14ac:dyDescent="0.4">
      <c r="A8" s="59"/>
      <c r="C8" s="76" t="s">
        <v>535</v>
      </c>
      <c r="D8" s="13"/>
      <c r="E8" s="69"/>
      <c r="F8" s="72">
        <f>IF(ISBLANK(E8),0,VLOOKUP(E8,upgrades[#All],setup!C$9+1,FALSE))</f>
        <v>0</v>
      </c>
      <c r="G8" s="105">
        <f ca="1">VLOOKUP(E8,upgrades[#All],2,FALSE)</f>
        <v>0</v>
      </c>
      <c r="I8" s="68"/>
      <c r="J8" s="17">
        <f>IF(ISBLANK(I8),0,VLOOKUP(I8,crewedtanks[#All],setup!$C$9+1,FALSE))</f>
        <v>0</v>
      </c>
    </row>
    <row r="9" spans="1:12" ht="15" thickBot="1" x14ac:dyDescent="0.4">
      <c r="A9" s="1" t="s">
        <v>112</v>
      </c>
      <c r="C9" s="76" t="s">
        <v>49</v>
      </c>
      <c r="D9" s="203" t="s">
        <v>504</v>
      </c>
      <c r="E9" s="68"/>
      <c r="F9" s="72">
        <f>IF(ISBLANK(E9),0,IF(D9='divs nats data base'!I$3,VLOOKUP(E9,feildgunassets[#All],setup!C$9+1,FALSE),VLOOKUP(E9,assetteams[#All],setup!C$9+1,FALSE)))</f>
        <v>0</v>
      </c>
      <c r="G9" s="105">
        <f ca="1">IF(D9='divs nats data base'!I2,VLOOKUP(E9,assetteams[#All],3,FALSE),VLOOKUP(E9,feildgunassets[#All],3,FALSE))</f>
        <v>0</v>
      </c>
      <c r="I9" s="68"/>
      <c r="J9" s="17">
        <f>IF(ISBLANK(I9),0,VLOOKUP(I9,crewedtanks[#All],setup!$C$9+1,FALSE))</f>
        <v>0</v>
      </c>
    </row>
    <row r="10" spans="1:12" ht="15" thickBot="1" x14ac:dyDescent="0.4">
      <c r="A10" s="139"/>
      <c r="C10" s="76" t="s">
        <v>50</v>
      </c>
      <c r="E10" s="204"/>
      <c r="F10" s="72">
        <f>IF(ISBLANK(E10),0,VLOOKUP(E10,uncrewedvehicles[#All],setup!C$9+1,FALSE))</f>
        <v>0</v>
      </c>
      <c r="G10" s="105">
        <f ca="1">VLOOKUP(E10,uncrewedvehicles[],3,FALSE)</f>
        <v>0</v>
      </c>
      <c r="I10" s="68"/>
      <c r="J10" s="17">
        <f>IF(ISBLANK(I10),0,VLOOKUP(I10,crewedtanks[#All],setup!$C$9+1,FALSE))</f>
        <v>0</v>
      </c>
    </row>
    <row r="11" spans="1:12" ht="15" thickBot="1" x14ac:dyDescent="0.4">
      <c r="A11" s="1"/>
      <c r="C11" s="76"/>
      <c r="D11" s="76"/>
      <c r="E11" s="230" t="s">
        <v>10</v>
      </c>
      <c r="F11" s="231">
        <f>SUM(F7:F10)</f>
        <v>0</v>
      </c>
      <c r="G11" s="105"/>
      <c r="I11" s="68"/>
      <c r="J11" s="17">
        <f>IF(ISBLANK(I11),0,VLOOKUP(I11,crewedtanks[#All],setup!$C$9+1,FALSE))</f>
        <v>0</v>
      </c>
    </row>
    <row r="12" spans="1:12" ht="15.5" thickTop="1" thickBot="1" x14ac:dyDescent="0.4">
      <c r="A12" s="18" t="s">
        <v>108</v>
      </c>
      <c r="B12" t="str">
        <f>IF(A13="attack",1.25,"1")</f>
        <v>1</v>
      </c>
      <c r="C12" s="223" t="s">
        <v>91</v>
      </c>
      <c r="D12" s="232" t="s">
        <v>368</v>
      </c>
      <c r="E12" s="233"/>
      <c r="F12" s="224">
        <f>IF(ISBLANK(E12),0,IF(D12='divs nats data base'!G$2,VLOOKUP(E12,standardsquads[#All],setup!C$9+1,FALSE),IF(D12='divs nats data base'!G$3,VLOOKUP(E12,assetsquads[#All],setup!C$9+1,FALSE),IF(D12='divs nats data base'!G$4,VLOOKUP(E12,feildgunsquads[#All],setup!C$9+1,FALSE),IF(D12='divs nats data base'!G$5,VLOOKUP(E12,built_SF[#All],setup!$C$9+1,FALSE),IF(D12='divs nats data base'!G$6,VLOOKUP(E12,built_SF[#All],setup!$C$9+1,FALSE),IF(D12='divs nats data base'!G$7,VLOOKUP(E12,built_SF[#All],setup!$C$9+1,FALSE))))))))</f>
        <v>0</v>
      </c>
      <c r="G12" s="225">
        <f ca="1">IF(D12='divs nats data base'!G$2,VLOOKUP(E12,standardsquads[#All],3,FALSE),IF(D12='divs nats data base'!G$3,VLOOKUP(E12,assetsquads[#All],3,FALSE),IF(D12='divs nats data base'!G$4,VLOOKUP(E12,feildgunsquads[#All],3,FALSE),IF(D12='divs nats data base'!G$5,VLOOKUP(E12,built_SF[#All],3,FALSE),IF(D12='divs nats data base'!G$6,VLOOKUP(E12,built_SF[#All],3,FALSE),IF(D12='divs nats data base'!G$7,VLOOKUP(E12,built_SF[#All],3,FALSE)))))))</f>
        <v>0</v>
      </c>
      <c r="I12" s="68"/>
      <c r="J12" s="17">
        <f>IF(ISBLANK(I12),0,VLOOKUP(I12,crewedtanks[#All],setup!$C$9+1,FALSE))</f>
        <v>0</v>
      </c>
      <c r="L12" t="s">
        <v>74</v>
      </c>
    </row>
    <row r="13" spans="1:12" ht="15" thickBot="1" x14ac:dyDescent="0.4">
      <c r="A13" s="66" t="s">
        <v>19</v>
      </c>
      <c r="C13" s="76" t="s">
        <v>535</v>
      </c>
      <c r="D13" s="13"/>
      <c r="E13" s="69"/>
      <c r="F13" s="72">
        <f>IF(ISBLANK(E13),0,VLOOKUP(E13,upgrades[#All],setup!C$9+1,FALSE))</f>
        <v>0</v>
      </c>
      <c r="G13" s="105">
        <f ca="1">VLOOKUP(E13,upgrades[#All],2,FALSE)</f>
        <v>0</v>
      </c>
      <c r="I13" s="68"/>
      <c r="J13" s="17">
        <f>IF(ISBLANK(I13),0,VLOOKUP(I13,crewedtanks[#All],setup!$C$9+1,FALSE))</f>
        <v>0</v>
      </c>
    </row>
    <row r="14" spans="1:12" ht="15" thickBot="1" x14ac:dyDescent="0.4">
      <c r="C14" s="76" t="s">
        <v>49</v>
      </c>
      <c r="D14" s="203" t="s">
        <v>504</v>
      </c>
      <c r="E14" s="68"/>
      <c r="F14" s="72">
        <f>IF(ISBLANK(E14),0,IF(D14='divs nats data base'!I$3,VLOOKUP(E14,feildgunassets[#All],setup!C$9+1,FALSE),VLOOKUP(E14,assetteams[#All],setup!C$9+1,FALSE)))</f>
        <v>0</v>
      </c>
      <c r="G14" s="105">
        <f ca="1">IF(D14='divs nats data base'!I2,VLOOKUP(E14,assetteams[#All],3,FALSE),VLOOKUP(E14,feildgunassets[#All],3,FALSE))</f>
        <v>0</v>
      </c>
      <c r="I14" s="68"/>
      <c r="J14" s="17">
        <f>IF(ISBLANK(I14),0,VLOOKUP(I14,crewedtanks[#All],setup!$C$9+1,FALSE))</f>
        <v>0</v>
      </c>
    </row>
    <row r="15" spans="1:12" ht="15" thickBot="1" x14ac:dyDescent="0.4">
      <c r="A15" s="1" t="s">
        <v>109</v>
      </c>
      <c r="B15">
        <v>1.0109999999999999</v>
      </c>
      <c r="C15" s="76" t="s">
        <v>50</v>
      </c>
      <c r="D15" s="13"/>
      <c r="E15" s="204"/>
      <c r="F15" s="72">
        <f>IF(ISBLANK(E15),0,VLOOKUP(E15,uncrewedvehicles[#All],setup!C$9+1,FALSE))</f>
        <v>0</v>
      </c>
      <c r="G15" s="105">
        <f ca="1">VLOOKUP(E15,uncrewedvehicles[],3,FALSE)</f>
        <v>0</v>
      </c>
      <c r="I15" s="68"/>
      <c r="J15" s="17">
        <f>IF(ISBLANK(I15),0,VLOOKUP(I15,crewedtanks[#All],setup!$C$9+1,FALSE))</f>
        <v>0</v>
      </c>
    </row>
    <row r="16" spans="1:12" ht="15" thickBot="1" x14ac:dyDescent="0.4">
      <c r="A16" s="8">
        <f>SUM(A10*B12)</f>
        <v>0</v>
      </c>
      <c r="C16" s="226"/>
      <c r="D16" s="226"/>
      <c r="E16" s="227" t="s">
        <v>10</v>
      </c>
      <c r="F16" s="228">
        <f>SUM(F12:F15)</f>
        <v>0</v>
      </c>
      <c r="G16" s="229"/>
      <c r="I16" s="68"/>
      <c r="J16" s="17">
        <f>IF(ISBLANK(I16),0,VLOOKUP(I16,crewedtanks[#All],setup!$C$9+1,FALSE))</f>
        <v>0</v>
      </c>
    </row>
    <row r="17" spans="1:14" ht="15" thickBot="1" x14ac:dyDescent="0.4">
      <c r="C17" s="220" t="s">
        <v>92</v>
      </c>
      <c r="D17" s="221" t="s">
        <v>368</v>
      </c>
      <c r="E17" s="222"/>
      <c r="F17" s="72">
        <f>IF(ISBLANK(E17),0,IF(D17='divs nats data base'!G$2,VLOOKUP(E17,standardsquads[#All],setup!C$9+1,FALSE),IF(D17='divs nats data base'!G$3,VLOOKUP(E17,assetsquads[#All],setup!C$9+1,FALSE),IF(D17='divs nats data base'!G$4,VLOOKUP(E17,feildgunsquads[#All],setup!C$9+1,FALSE),IF(D17='divs nats data base'!G$5,VLOOKUP(E17,built_SF[#All],setup!$C$9+1,FALSE),IF(D17='divs nats data base'!G$6,VLOOKUP(E17,built_SF[#All],setup!$C$9+1,FALSE),IF(D17='divs nats data base'!G$7,VLOOKUP(E17,built_SF[#All],setup!$C$9+1,FALSE))))))))</f>
        <v>0</v>
      </c>
      <c r="G17" s="105">
        <f ca="1">IF(D17='divs nats data base'!G$2,VLOOKUP(E17,standardsquads[#All],3,FALSE),IF(D17='divs nats data base'!G$3,VLOOKUP(E17,assetsquads[#All],3,FALSE),IF(D17='divs nats data base'!G$4,VLOOKUP(E17,feildgunsquads[#All],3,FALSE),IF(D17='divs nats data base'!G$5,VLOOKUP(E17,built_SF[#All],3,FALSE),IF(D17='divs nats data base'!G$6,VLOOKUP(E17,built_SF[#All],3,FALSE),IF(D17='divs nats data base'!G$7,VLOOKUP(E17,built_SF[#All],3,FALSE)))))))</f>
        <v>0</v>
      </c>
    </row>
    <row r="18" spans="1:14" ht="15" thickBot="1" x14ac:dyDescent="0.4">
      <c r="A18" s="1" t="s">
        <v>107</v>
      </c>
      <c r="C18" s="76" t="s">
        <v>535</v>
      </c>
      <c r="D18" s="13"/>
      <c r="E18" s="69"/>
      <c r="F18" s="72">
        <f>IF(ISBLANK(E18),0,VLOOKUP(E18,upgrades[#All],setup!C$9+1,FALSE))</f>
        <v>0</v>
      </c>
      <c r="G18" s="105">
        <f ca="1">VLOOKUP(E18,upgrades[#All],2,FALSE)</f>
        <v>0</v>
      </c>
      <c r="I18" t="s">
        <v>105</v>
      </c>
      <c r="J18" s="151">
        <f>SUM(J2:J16)</f>
        <v>0</v>
      </c>
    </row>
    <row r="19" spans="1:14" ht="15" thickBot="1" x14ac:dyDescent="0.4">
      <c r="A19" t="str">
        <f>A1&amp;"."&amp;A2&amp;"."&amp;A3&amp;"."&amp;A4&amp;"."&amp;A5&amp;"."&amp;A7&amp;"."&amp;A10&amp;"."&amp;A13&amp;"."&amp;setup!B28&amp;""</f>
        <v>0.0.USA.infantry.trained...neutral.7.1.0</v>
      </c>
      <c r="B19">
        <v>1</v>
      </c>
      <c r="C19" s="76" t="s">
        <v>49</v>
      </c>
      <c r="D19" s="204" t="s">
        <v>504</v>
      </c>
      <c r="E19" s="68"/>
      <c r="F19" s="72">
        <f>IF(ISBLANK(E19),0,IF(D19='divs nats data base'!I$3,VLOOKUP(E19,feildgunassets[#All],setup!C$9+1,FALSE),VLOOKUP(E19,assetteams[#All],setup!C$9+1,FALSE)))</f>
        <v>0</v>
      </c>
      <c r="G19" s="105">
        <f ca="1">IF(D19='divs nats data base'!I2,VLOOKUP(E19,assetteams[#All],3,FALSE),VLOOKUP(E19,feildgunassets[#All],3,FALSE))</f>
        <v>0</v>
      </c>
    </row>
    <row r="20" spans="1:14" ht="15" thickBot="1" x14ac:dyDescent="0.4">
      <c r="C20" s="76" t="s">
        <v>50</v>
      </c>
      <c r="D20" s="13"/>
      <c r="E20" s="204"/>
      <c r="F20" s="72">
        <f>IF(ISBLANK(E20),0,VLOOKUP(E20,uncrewedvehicles[#All],setup!C$9+1,FALSE))</f>
        <v>0</v>
      </c>
      <c r="G20" s="105">
        <f ca="1">VLOOKUP(E20,uncrewedvehicles[],3,FALSE)</f>
        <v>0</v>
      </c>
    </row>
    <row r="21" spans="1:14" ht="15" thickBot="1" x14ac:dyDescent="0.4">
      <c r="B21" s="59"/>
      <c r="C21" s="76"/>
      <c r="D21" s="76"/>
      <c r="E21" s="230" t="s">
        <v>10</v>
      </c>
      <c r="F21" s="231">
        <f>SUM(F17:F20)</f>
        <v>0</v>
      </c>
      <c r="G21" s="105"/>
      <c r="H21" s="298" t="s">
        <v>241</v>
      </c>
    </row>
    <row r="22" spans="1:14" ht="15.5" thickTop="1" thickBot="1" x14ac:dyDescent="0.4">
      <c r="A22" s="59"/>
      <c r="B22" s="67"/>
      <c r="C22" s="223" t="s">
        <v>93</v>
      </c>
      <c r="D22" s="232" t="s">
        <v>368</v>
      </c>
      <c r="E22" s="233"/>
      <c r="F22" s="224">
        <f>IF(ISBLANK(E22),0,IF(D22='divs nats data base'!G$2,VLOOKUP(E22,standardsquads[#All],setup!C$9+1,FALSE),IF(D22='divs nats data base'!G$3,VLOOKUP(E22,assetsquads[#All],setup!C$9+1,FALSE),IF(D22='divs nats data base'!G$4,VLOOKUP(E22,feildgunsquads[#All],setup!C$9+1,FALSE),IF(D22='divs nats data base'!G$5,VLOOKUP(E22,built_SF[#All],setup!$C$9+1,FALSE),IF(D22='divs nats data base'!G$6,VLOOKUP(E22,built_SF[#All],setup!$C$9+1,FALSE),IF(D22='divs nats data base'!G$7,VLOOKUP(E22,built_SF[#All],setup!$C$9+1,FALSE))))))))</f>
        <v>0</v>
      </c>
      <c r="G22" s="225">
        <f ca="1">IF(D22='divs nats data base'!G$2,VLOOKUP(E22,standardsquads[#All],3,FALSE),IF(D22='divs nats data base'!G$3,VLOOKUP(E22,assetsquads[#All],3,FALSE),IF(D22='divs nats data base'!G$4,VLOOKUP(E22,feildgunsquads[#All],3,FALSE),IF(D22='divs nats data base'!G$5,VLOOKUP(E22,built_SF[#All],3,FALSE),IF(D22='divs nats data base'!G$6,VLOOKUP(E22,built_SF[#All],3,FALSE),IF(D22='divs nats data base'!G$7,VLOOKUP(E22,built_SF[#All],3,FALSE)))))))</f>
        <v>0</v>
      </c>
      <c r="H22" s="299"/>
    </row>
    <row r="23" spans="1:14" ht="19" thickBot="1" x14ac:dyDescent="0.5">
      <c r="A23" s="202"/>
      <c r="B23" s="59"/>
      <c r="C23" s="76" t="s">
        <v>535</v>
      </c>
      <c r="D23" s="13"/>
      <c r="E23" s="69"/>
      <c r="F23" s="72">
        <f>IF(ISBLANK(E23),0,VLOOKUP(E23,upgrades[#All],setup!C$9+1,FALSE))</f>
        <v>0</v>
      </c>
      <c r="G23" s="105">
        <f ca="1">VLOOKUP(E23,upgrades[#All],2,FALSE)</f>
        <v>0</v>
      </c>
      <c r="H23" s="299"/>
    </row>
    <row r="24" spans="1:14" ht="15" thickBot="1" x14ac:dyDescent="0.4">
      <c r="A24" s="67"/>
      <c r="B24" s="59"/>
      <c r="C24" s="76" t="s">
        <v>49</v>
      </c>
      <c r="D24" s="203" t="s">
        <v>504</v>
      </c>
      <c r="E24" s="68"/>
      <c r="F24" s="72">
        <f>IF(ISBLANK(E24),0,IF(D24='divs nats data base'!I$3,VLOOKUP(E24,feildgunassets[#All],setup!C$9+1,FALSE),VLOOKUP(E24,assetteams[#All],setup!C$9+1,FALSE)))</f>
        <v>0</v>
      </c>
      <c r="G24" s="105">
        <f ca="1">IF(D24='divs nats data base'!I2,VLOOKUP(E24,assetteams[#All],3,FALSE),VLOOKUP(E24,feildgunassets[#All],3,FALSE))</f>
        <v>0</v>
      </c>
      <c r="H24" s="299"/>
    </row>
    <row r="25" spans="1:14" ht="15" thickBot="1" x14ac:dyDescent="0.4">
      <c r="A25" s="67"/>
      <c r="C25" s="76" t="s">
        <v>50</v>
      </c>
      <c r="D25" s="13"/>
      <c r="E25" s="204"/>
      <c r="F25" s="72">
        <f>IF(ISBLANK(E25),0,VLOOKUP(E25,uncrewedvehicles[#All],setup!C$9+1,FALSE))</f>
        <v>0</v>
      </c>
      <c r="G25" s="105">
        <f ca="1">VLOOKUP(E25,uncrewedvehicles[],3,FALSE)</f>
        <v>0</v>
      </c>
      <c r="H25" s="299"/>
      <c r="I25" s="1" t="s">
        <v>240</v>
      </c>
    </row>
    <row r="26" spans="1:14" ht="15" thickBot="1" x14ac:dyDescent="0.4">
      <c r="A26" s="300" t="s">
        <v>192</v>
      </c>
      <c r="C26" s="226"/>
      <c r="D26" s="226"/>
      <c r="E26" s="227" t="s">
        <v>10</v>
      </c>
      <c r="F26" s="228">
        <f>SUM(F22:F25)</f>
        <v>0</v>
      </c>
      <c r="G26" s="229"/>
      <c r="H26" s="205"/>
      <c r="I26" s="143" t="s">
        <v>243</v>
      </c>
      <c r="J26">
        <f>H26*15</f>
        <v>0</v>
      </c>
    </row>
    <row r="27" spans="1:14" ht="15.5" thickTop="1" thickBot="1" x14ac:dyDescent="0.4">
      <c r="A27" s="300"/>
      <c r="C27" s="220" t="s">
        <v>94</v>
      </c>
      <c r="D27" s="221" t="s">
        <v>368</v>
      </c>
      <c r="E27" s="222"/>
      <c r="F27" s="72">
        <f>IF(ISBLANK(E27),0,IF(D27='divs nats data base'!G$2,VLOOKUP(E27,standardsquads[#All],setup!C$9+1,FALSE),IF(D27='divs nats data base'!G$3,VLOOKUP(E27,assetsquads[#All],setup!C$9+1,FALSE),IF(D27='divs nats data base'!G$4,VLOOKUP(E27,feildgunsquads[#All],setup!C$9+1,FALSE),IF(D27='divs nats data base'!G$5,VLOOKUP(E27,built_SF[#All],setup!$C$9+1,FALSE),IF(D27='divs nats data base'!G$6,VLOOKUP(E27,built_SF[#All],setup!$C$9+1,FALSE),IF(D27='divs nats data base'!G$7,VLOOKUP(E27,built_SF[#All],setup!$C$9+1,FALSE))))))))</f>
        <v>0</v>
      </c>
      <c r="G27" s="105">
        <f ca="1">IF(D27='divs nats data base'!G$2,VLOOKUP(E27,standardsquads[#All],3,FALSE),IF(D27='divs nats data base'!G$3,VLOOKUP(E27,assetsquads[#All],3,FALSE),IF(D27='divs nats data base'!G$4,VLOOKUP(E27,feildgunsquads[#All],3,FALSE),IF(D27='divs nats data base'!G$5,VLOOKUP(E27,built_SF[#All],3,FALSE),IF(D27='divs nats data base'!G$6,VLOOKUP(E27,built_SF[#All],3,FALSE),IF(D27='divs nats data base'!G$7,VLOOKUP(E27,built_SF[#All],3,FALSE)))))))</f>
        <v>0</v>
      </c>
      <c r="H27" s="205"/>
      <c r="I27" s="8" t="s">
        <v>244</v>
      </c>
      <c r="J27">
        <f>H27*10</f>
        <v>0</v>
      </c>
    </row>
    <row r="28" spans="1:14" ht="15" thickBot="1" x14ac:dyDescent="0.4">
      <c r="A28" s="300"/>
      <c r="C28" s="76" t="s">
        <v>535</v>
      </c>
      <c r="D28" s="13" t="s">
        <v>535</v>
      </c>
      <c r="E28" s="69"/>
      <c r="F28" s="72">
        <f>IF(ISBLANK(E28),0,VLOOKUP(E28,upgrades[#All],setup!C$9+1,FALSE))</f>
        <v>0</v>
      </c>
      <c r="G28" s="105">
        <f ca="1">VLOOKUP(E28,upgrades[#All],2,FALSE)</f>
        <v>0</v>
      </c>
      <c r="H28" s="205"/>
      <c r="I28" s="14" t="s">
        <v>245</v>
      </c>
      <c r="J28">
        <f>H28*5</f>
        <v>0</v>
      </c>
      <c r="N28" t="s">
        <v>74</v>
      </c>
    </row>
    <row r="29" spans="1:14" ht="15" thickBot="1" x14ac:dyDescent="0.4">
      <c r="A29" s="301" t="s">
        <v>193</v>
      </c>
      <c r="C29" s="76" t="s">
        <v>49</v>
      </c>
      <c r="D29" s="204" t="s">
        <v>504</v>
      </c>
      <c r="E29" s="68"/>
      <c r="F29" s="72">
        <f>IF(ISBLANK(E29),0,IF(D29='divs nats data base'!I$3,VLOOKUP(E29,feildgunassets[#All],setup!C$9+1,FALSE),VLOOKUP(E29,assetteams[#All],setup!C$9+1,FALSE)))</f>
        <v>0</v>
      </c>
      <c r="G29" s="105">
        <f ca="1">IF(D29='divs nats data base'!I2,VLOOKUP(E29,assetteams[#All],3,FALSE),VLOOKUP(E29,feildgunassets[#All],3,FALSE))</f>
        <v>0</v>
      </c>
      <c r="H29" s="205"/>
      <c r="I29" s="8" t="s">
        <v>246</v>
      </c>
      <c r="J29">
        <f>H29*50</f>
        <v>0</v>
      </c>
    </row>
    <row r="30" spans="1:14" ht="15" customHeight="1" thickBot="1" x14ac:dyDescent="0.4">
      <c r="A30" s="301"/>
      <c r="C30" s="76" t="s">
        <v>50</v>
      </c>
      <c r="D30" s="13"/>
      <c r="E30" s="204"/>
      <c r="F30" s="72">
        <f>IF(ISBLANK(E30),0,VLOOKUP(E30,uncrewedvehicles[#All],setup!C$9+1,FALSE))</f>
        <v>0</v>
      </c>
      <c r="G30" s="105">
        <f ca="1">VLOOKUP(E30,uncrewedvehicles[],3,FALSE)</f>
        <v>0</v>
      </c>
    </row>
    <row r="31" spans="1:14" ht="15" customHeight="1" thickBot="1" x14ac:dyDescent="0.4">
      <c r="A31" s="301"/>
      <c r="C31" s="76"/>
      <c r="D31" s="76"/>
      <c r="E31" s="230" t="s">
        <v>10</v>
      </c>
      <c r="F31" s="231">
        <f>SUM(F27:F30)</f>
        <v>0</v>
      </c>
      <c r="G31" s="105"/>
      <c r="I31" t="s">
        <v>242</v>
      </c>
      <c r="J31">
        <f>SUM(J26:J29)</f>
        <v>0</v>
      </c>
    </row>
    <row r="32" spans="1:14" ht="15" customHeight="1" thickTop="1" thickBot="1" x14ac:dyDescent="0.4">
      <c r="A32" s="302" t="s">
        <v>194</v>
      </c>
      <c r="C32" s="223" t="s">
        <v>95</v>
      </c>
      <c r="D32" s="232" t="s">
        <v>368</v>
      </c>
      <c r="E32" s="233"/>
      <c r="F32" s="224">
        <f>IF(ISBLANK(E32),0,IF(D32='divs nats data base'!G$2,VLOOKUP(E32,standardsquads[#All],setup!C$9+1,FALSE),IF(D32='divs nats data base'!G$3,VLOOKUP(E32,assetsquads[#All],setup!C$9+1,FALSE),IF(D32='divs nats data base'!G$4,VLOOKUP(E32,feildgunsquads[#All],setup!C$9+1,FALSE),IF(D32='divs nats data base'!G$5,VLOOKUP(E32,built_SF[#All],setup!$C$9+1,FALSE),IF(D32='divs nats data base'!G$6,VLOOKUP(E32,built_SF[#All],setup!$C$9+1,FALSE),IF(D32='divs nats data base'!G$7,VLOOKUP(E32,built_SF[#All],setup!$C$9+1,FALSE))))))))</f>
        <v>0</v>
      </c>
      <c r="G32" s="225">
        <f ca="1">IF(D32='divs nats data base'!G$2,VLOOKUP(E32,standardsquads[#All],3,FALSE),IF(D32='divs nats data base'!G$3,VLOOKUP(E32,assetsquads[#All],3,FALSE),IF(D32='divs nats data base'!G$4,VLOOKUP(E32,feildgunsquads[#All],3,FALSE),IF(D32='divs nats data base'!G$5,VLOOKUP(E32,built_SF[#All],3,FALSE),IF(D32='divs nats data base'!G$6,VLOOKUP(E32,built_SF[#All],3,FALSE),IF(D32='divs nats data base'!G$7,VLOOKUP(E32,built_SF[#All],3,FALSE)))))))</f>
        <v>0</v>
      </c>
    </row>
    <row r="33" spans="1:10" ht="14.5" customHeight="1" thickBot="1" x14ac:dyDescent="0.4">
      <c r="A33" s="302"/>
      <c r="C33" s="76" t="s">
        <v>535</v>
      </c>
      <c r="D33" s="13"/>
      <c r="E33" s="69"/>
      <c r="F33" s="72">
        <f>IF(ISBLANK(E33),0,VLOOKUP(E33,upgrades[#All],setup!C$9+1,FALSE))</f>
        <v>0</v>
      </c>
      <c r="G33" s="105">
        <f ca="1">VLOOKUP(E33,upgrades[#All],2,FALSE)</f>
        <v>0</v>
      </c>
    </row>
    <row r="34" spans="1:10" ht="14.5" customHeight="1" thickBot="1" x14ac:dyDescent="0.4">
      <c r="A34" s="302"/>
      <c r="C34" s="76" t="s">
        <v>49</v>
      </c>
      <c r="D34" s="203" t="s">
        <v>504</v>
      </c>
      <c r="E34" s="68"/>
      <c r="F34" s="72">
        <f>IF(ISBLANK(E34),0,IF(D34='divs nats data base'!I$3,VLOOKUP(E34,feildgunassets[#All],setup!C$9+1,FALSE),VLOOKUP(E34,assetteams[#All],setup!C$9+1,FALSE)))</f>
        <v>0</v>
      </c>
      <c r="G34" s="105">
        <f ca="1">IF(D34='divs nats data base'!I2,VLOOKUP(E34,assetteams[#All],3,FALSE),VLOOKUP(E34,feildgunassets[#All],3,FALSE))</f>
        <v>0</v>
      </c>
    </row>
    <row r="35" spans="1:10" ht="15" customHeight="1" thickBot="1" x14ac:dyDescent="0.4">
      <c r="A35" s="303" t="s">
        <v>263</v>
      </c>
      <c r="C35" s="76" t="s">
        <v>50</v>
      </c>
      <c r="D35" s="13"/>
      <c r="E35" s="204"/>
      <c r="F35" s="72">
        <f>IF(ISBLANK(E35),0,VLOOKUP(E35,uncrewedvehicles[#All],setup!C$9+1,FALSE))</f>
        <v>0</v>
      </c>
      <c r="G35" s="105">
        <f ca="1">VLOOKUP(E35,uncrewedvehicles[],3,FALSE)</f>
        <v>0</v>
      </c>
    </row>
    <row r="36" spans="1:10" ht="15" customHeight="1" thickBot="1" x14ac:dyDescent="0.4">
      <c r="A36" s="303"/>
      <c r="C36" s="226"/>
      <c r="D36" s="226"/>
      <c r="E36" s="227" t="s">
        <v>10</v>
      </c>
      <c r="F36" s="228">
        <f>SUM(F32:F35)</f>
        <v>0</v>
      </c>
      <c r="G36" s="229"/>
    </row>
    <row r="37" spans="1:10" ht="15" customHeight="1" thickTop="1" thickBot="1" x14ac:dyDescent="0.4">
      <c r="A37" s="303"/>
      <c r="B37" s="64"/>
      <c r="C37" s="223" t="s">
        <v>96</v>
      </c>
      <c r="D37" s="232" t="s">
        <v>368</v>
      </c>
      <c r="E37" s="233"/>
      <c r="F37" s="224">
        <f>IF(ISBLANK(E37),0,IF(D37='divs nats data base'!G$2,VLOOKUP(E37,standardsquads[#All],setup!C$9+1,FALSE),IF(D37='divs nats data base'!G$3,VLOOKUP(E37,assetsquads[#All],setup!C$9+1,FALSE),IF(D37='divs nats data base'!G$4,VLOOKUP(E37,feildgunsquads[#All],setup!C$9+1,FALSE),IF(D37='divs nats data base'!G$5,VLOOKUP(E37,built_SF[#All],setup!$C$9+1,FALSE),IF(D37='divs nats data base'!G$6,VLOOKUP(E37,built_SF[#All],setup!$C$9+1,FALSE),IF(D37='divs nats data base'!G$7,VLOOKUP(E37,built_SF[#All],setup!$C$9+1,FALSE))))))))</f>
        <v>0</v>
      </c>
      <c r="G37" s="225">
        <f ca="1">IF(D37='divs nats data base'!G$2,VLOOKUP(E37,standardsquads[#All],3,FALSE),IF(D37='divs nats data base'!G$3,VLOOKUP(E37,assetsquads[#All],3,FALSE),IF(D37='divs nats data base'!G$4,VLOOKUP(E37,feildgunsquads[#All],3,FALSE),IF(D37='divs nats data base'!G$5,VLOOKUP(E37,built_SF[#All],3,FALSE),IF(D37='divs nats data base'!G$6,VLOOKUP(E37,built_SF[#All],3,FALSE),IF(D37='divs nats data base'!G$7,VLOOKUP(E37,built_SF[#All],3,FALSE)))))))</f>
        <v>0</v>
      </c>
    </row>
    <row r="38" spans="1:10" ht="14.5" customHeight="1" thickBot="1" x14ac:dyDescent="0.4">
      <c r="B38" s="67"/>
      <c r="C38" s="76" t="s">
        <v>535</v>
      </c>
      <c r="D38" s="13"/>
      <c r="E38" s="69"/>
      <c r="F38" s="72">
        <f>IF(ISBLANK(E38),0,VLOOKUP(E38,upgrades[#All],setup!C$9+1,FALSE))</f>
        <v>0</v>
      </c>
      <c r="G38" s="105">
        <f ca="1">VLOOKUP(E38,upgrades[#All],2,FALSE)</f>
        <v>0</v>
      </c>
    </row>
    <row r="39" spans="1:10" ht="17" customHeight="1" thickBot="1" x14ac:dyDescent="0.4">
      <c r="B39" s="59"/>
      <c r="C39" s="76" t="s">
        <v>49</v>
      </c>
      <c r="D39" s="203" t="s">
        <v>504</v>
      </c>
      <c r="E39" s="68"/>
      <c r="F39" s="72">
        <f>IF(ISBLANK(E39),0,IF(D39='divs nats data base'!I$3,VLOOKUP(E39,feildgunassets[#All],setup!C$9+1,FALSE),VLOOKUP(E39,assetteams[#All],setup!C$9+1,FALSE)))</f>
        <v>0</v>
      </c>
      <c r="G39" s="105">
        <f ca="1">IF(D39='divs nats data base'!I2,VLOOKUP(E39,assetteams[#All],3,FALSE),VLOOKUP(E39,feildgunassets[#All],3,FALSE))</f>
        <v>0</v>
      </c>
    </row>
    <row r="40" spans="1:10" ht="15" customHeight="1" thickBot="1" x14ac:dyDescent="0.4">
      <c r="B40" s="59"/>
      <c r="C40" s="76" t="s">
        <v>50</v>
      </c>
      <c r="D40" s="13"/>
      <c r="E40" s="204"/>
      <c r="F40" s="72">
        <f>IF(ISBLANK(E40),0,VLOOKUP(E40,uncrewedvehicles[#All],setup!C$9+1,FALSE))</f>
        <v>0</v>
      </c>
      <c r="G40" s="105">
        <f ca="1">VLOOKUP(E40,uncrewedvehicles[],3,FALSE)</f>
        <v>0</v>
      </c>
      <c r="I40" s="13" t="s">
        <v>10</v>
      </c>
      <c r="J40" s="71">
        <f>SUM(F6+F11+F16+F21+F26+F31+F36+F41+F44+J18+J31)</f>
        <v>0</v>
      </c>
    </row>
    <row r="41" spans="1:10" ht="15" customHeight="1" thickBot="1" x14ac:dyDescent="0.4">
      <c r="A41" s="67"/>
      <c r="B41" s="59"/>
      <c r="C41" s="226"/>
      <c r="D41" s="226"/>
      <c r="E41" s="227" t="s">
        <v>10</v>
      </c>
      <c r="F41" s="228">
        <f>SUM(F37:F40)</f>
        <v>0</v>
      </c>
      <c r="G41" s="229"/>
      <c r="I41" t="s">
        <v>29</v>
      </c>
      <c r="J41" s="71">
        <f>(A16-J40)</f>
        <v>0</v>
      </c>
    </row>
    <row r="42" spans="1:10" ht="15.5" customHeight="1" thickTop="1" x14ac:dyDescent="0.35">
      <c r="A42" s="67"/>
      <c r="C42" s="59" t="str">
        <f>A19</f>
        <v>0.0.USA.infantry.trained...neutral.7.1.0</v>
      </c>
      <c r="D42" s="59"/>
      <c r="E42" s="64"/>
      <c r="F42" s="206"/>
      <c r="G42" s="59"/>
    </row>
    <row r="43" spans="1:10" x14ac:dyDescent="0.35">
      <c r="A43" s="59"/>
      <c r="C43" s="59"/>
      <c r="D43" s="59"/>
      <c r="E43" s="64"/>
      <c r="F43" s="206"/>
      <c r="G43" s="59"/>
    </row>
    <row r="44" spans="1:10" x14ac:dyDescent="0.35">
      <c r="A44" s="67"/>
      <c r="C44" s="59"/>
      <c r="D44" s="59"/>
      <c r="E44" s="59"/>
      <c r="F44" s="206"/>
      <c r="G44" s="59"/>
    </row>
    <row r="45" spans="1:10" x14ac:dyDescent="0.35">
      <c r="A45" s="67"/>
    </row>
    <row r="46" spans="1:10" x14ac:dyDescent="0.35">
      <c r="A46" s="59"/>
      <c r="E46" s="13"/>
    </row>
    <row r="47" spans="1:10" x14ac:dyDescent="0.35">
      <c r="A47" s="67"/>
      <c r="C47" s="13"/>
      <c r="D47" s="13"/>
    </row>
    <row r="48" spans="1:10" x14ac:dyDescent="0.35">
      <c r="A48" s="67"/>
      <c r="C48" s="60"/>
      <c r="D48" s="60"/>
    </row>
    <row r="49" spans="3:4" x14ac:dyDescent="0.35">
      <c r="C49" s="2"/>
      <c r="D49" s="62"/>
    </row>
    <row r="50" spans="3:4" x14ac:dyDescent="0.35">
      <c r="C50" s="2"/>
      <c r="D50" s="56"/>
    </row>
    <row r="51" spans="3:4" x14ac:dyDescent="0.35">
      <c r="C51" s="63"/>
      <c r="D51" s="56"/>
    </row>
    <row r="52" spans="3:4" x14ac:dyDescent="0.35">
      <c r="C52" s="2"/>
      <c r="D52" s="56"/>
    </row>
    <row r="53" spans="3:4" x14ac:dyDescent="0.35">
      <c r="C53" s="63"/>
      <c r="D53" s="56"/>
    </row>
    <row r="54" spans="3:4" x14ac:dyDescent="0.35">
      <c r="C54" s="64"/>
      <c r="D54" s="64"/>
    </row>
    <row r="55" spans="3:4" x14ac:dyDescent="0.35">
      <c r="C55" s="64"/>
      <c r="D55" s="64"/>
    </row>
    <row r="56" spans="3:4" x14ac:dyDescent="0.35">
      <c r="C56" s="64"/>
      <c r="D56" s="64"/>
    </row>
    <row r="57" spans="3:4" x14ac:dyDescent="0.35">
      <c r="C57" s="64"/>
      <c r="D57" s="64"/>
    </row>
    <row r="58" spans="3:4" x14ac:dyDescent="0.35">
      <c r="C58" s="64"/>
      <c r="D58" s="64"/>
    </row>
    <row r="59" spans="3:4" x14ac:dyDescent="0.35">
      <c r="C59" s="64"/>
      <c r="D59" s="64"/>
    </row>
    <row r="60" spans="3:4" x14ac:dyDescent="0.35">
      <c r="C60" s="59"/>
      <c r="D60" s="59"/>
    </row>
    <row r="61" spans="3:4" x14ac:dyDescent="0.35">
      <c r="C61" s="59"/>
      <c r="D61" s="59"/>
    </row>
    <row r="62" spans="3:4" x14ac:dyDescent="0.35">
      <c r="C62" s="59"/>
      <c r="D62" s="59"/>
    </row>
    <row r="63" spans="3:4" x14ac:dyDescent="0.35">
      <c r="C63" s="59"/>
      <c r="D63" s="59"/>
    </row>
    <row r="64" spans="3:4" x14ac:dyDescent="0.35">
      <c r="C64" s="59"/>
      <c r="D64" s="59"/>
    </row>
    <row r="65" spans="1:4" x14ac:dyDescent="0.35">
      <c r="C65" s="59"/>
      <c r="D65" s="59"/>
    </row>
    <row r="66" spans="1:4" x14ac:dyDescent="0.35">
      <c r="C66" s="59"/>
      <c r="D66" s="59"/>
    </row>
    <row r="67" spans="1:4" x14ac:dyDescent="0.35">
      <c r="C67" s="59"/>
      <c r="D67" s="59"/>
    </row>
    <row r="68" spans="1:4" x14ac:dyDescent="0.35">
      <c r="C68" s="2"/>
      <c r="D68" s="59"/>
    </row>
    <row r="69" spans="1:4" x14ac:dyDescent="0.35">
      <c r="C69" s="2"/>
      <c r="D69" s="59"/>
    </row>
    <row r="70" spans="1:4" x14ac:dyDescent="0.35">
      <c r="C70" s="59"/>
      <c r="D70" s="59"/>
    </row>
    <row r="71" spans="1:4" x14ac:dyDescent="0.35">
      <c r="C71" s="59"/>
      <c r="D71" s="59"/>
    </row>
    <row r="72" spans="1:4" x14ac:dyDescent="0.35">
      <c r="B72" s="13"/>
      <c r="C72" s="13"/>
      <c r="D72" s="13"/>
    </row>
    <row r="73" spans="1:4" x14ac:dyDescent="0.35">
      <c r="B73" s="59"/>
    </row>
    <row r="74" spans="1:4" x14ac:dyDescent="0.35">
      <c r="B74" s="59"/>
    </row>
    <row r="75" spans="1:4" x14ac:dyDescent="0.35">
      <c r="B75" s="60"/>
    </row>
    <row r="76" spans="1:4" x14ac:dyDescent="0.35">
      <c r="A76" s="59"/>
      <c r="B76" s="61"/>
    </row>
    <row r="77" spans="1:4" x14ac:dyDescent="0.35">
      <c r="A77" s="59"/>
      <c r="B77" s="63"/>
    </row>
    <row r="78" spans="1:4" x14ac:dyDescent="0.35">
      <c r="A78" s="60"/>
      <c r="B78" s="63"/>
    </row>
    <row r="79" spans="1:4" x14ac:dyDescent="0.35">
      <c r="A79" s="63"/>
      <c r="B79" s="61"/>
    </row>
    <row r="80" spans="1:4" x14ac:dyDescent="0.35">
      <c r="A80" s="63"/>
      <c r="B80" s="63"/>
    </row>
    <row r="81" spans="1:2" x14ac:dyDescent="0.35">
      <c r="A81" s="63"/>
      <c r="B81" s="2"/>
    </row>
    <row r="82" spans="1:2" x14ac:dyDescent="0.35">
      <c r="A82" s="63"/>
      <c r="B82" s="64"/>
    </row>
    <row r="83" spans="1:2" x14ac:dyDescent="0.35">
      <c r="A83" s="2" t="str">
        <f t="array" ref="A83">IFERROR(INDEX(tblunits[unitname],SMALL(IF((tblunits[nation]=$B$23)*(tblunits[division]=#REF!)*(tblunits[squadtype]=$D$7),ROW(tblunits[unitname])-MIN(ROW(tblunits[unitname]))+1),ROWS($A$83:A83))),"")</f>
        <v/>
      </c>
      <c r="B83" s="64"/>
    </row>
    <row r="84" spans="1:2" x14ac:dyDescent="0.35">
      <c r="A84" s="2" t="str">
        <f t="array" ref="A84">IFERROR(INDEX(tblunits[unitname],SMALL(IF((tblunits[nation]=$B$23)*(tblunits[division]=#REF!)*(tblunits[squadtype]=$D$7),ROW(tblunits[unitname])-MIN(ROW(tblunits[unitname]))+1),ROWS($A$83:A84))),"")</f>
        <v/>
      </c>
      <c r="B84" s="64"/>
    </row>
    <row r="85" spans="1:2" x14ac:dyDescent="0.35">
      <c r="A85" s="2" t="str">
        <f t="array" ref="A85">IFERROR(INDEX(tblunits[unitname],SMALL(IF((tblunits[nation]=$B$23)*(tblunits[division]=#REF!)*(tblunits[squadtype]=$D$7),ROW(tblunits[unitname])-MIN(ROW(tblunits[unitname]))+1),ROWS($A$83:A85))),"")</f>
        <v/>
      </c>
      <c r="B85" s="64"/>
    </row>
    <row r="86" spans="1:2" x14ac:dyDescent="0.35">
      <c r="A86" s="2" t="str">
        <f t="array" ref="A86">IFERROR(INDEX(tblunits[unitname],SMALL(IF((tblunits[nation]=$B$23)*(tblunits[division]=#REF!)*(tblunits[squadtype]=$D$7),ROW(tblunits[unitname])-MIN(ROW(tblunits[unitname]))+1),ROWS($A$83:A86))),"")</f>
        <v/>
      </c>
      <c r="B86" s="56"/>
    </row>
    <row r="87" spans="1:2" x14ac:dyDescent="0.35">
      <c r="A87" s="2" t="str">
        <f t="array" ref="A87">IFERROR(INDEX(tblunits[unitname],SMALL(IF((tblunits[nation]=$B$23)*(tblunits[division]=#REF!)*(tblunits[squadtype]=$D$7),ROW(tblunits[unitname])-MIN(ROW(tblunits[unitname]))+1),ROWS($A$83:A87))),"")</f>
        <v/>
      </c>
      <c r="B87" s="59"/>
    </row>
    <row r="88" spans="1:2" x14ac:dyDescent="0.35">
      <c r="A88" s="2" t="str">
        <f t="array" ref="A88">IFERROR(INDEX(tblunits[unitname],SMALL(IF((tblunits[nation]=$B$23)*(tblunits[division]=#REF!)*(tblunits[squadtype]=$D$7),ROW(tblunits[unitname])-MIN(ROW(tblunits[unitname]))+1),ROWS($A$83:A88))),"")</f>
        <v/>
      </c>
      <c r="B88" s="59"/>
    </row>
    <row r="89" spans="1:2" x14ac:dyDescent="0.35">
      <c r="A89" s="2" t="str">
        <f t="array" ref="A89">IFERROR(INDEX(tblunits[unitname],SMALL(IF((tblunits[nation]=$B$23)*(tblunits[division]=#REF!)*(tblunits[squadtype]=$D$7),ROW(tblunits[unitname])-MIN(ROW(tblunits[unitname]))+1),ROWS($A$83:A89))),"")</f>
        <v/>
      </c>
      <c r="B89" s="59"/>
    </row>
    <row r="90" spans="1:2" x14ac:dyDescent="0.35">
      <c r="A90" s="2" t="str">
        <f t="array" ref="A90">IFERROR(INDEX(tblunits[unitname],SMALL(IF((tblunits[nation]=$B$23)*(tblunits[division]=#REF!)*(tblunits[squadtype]=$D$7),ROW(tblunits[unitname])-MIN(ROW(tblunits[unitname]))+1),ROWS($A$83:A90))),"")</f>
        <v/>
      </c>
      <c r="B90" s="59"/>
    </row>
    <row r="91" spans="1:2" x14ac:dyDescent="0.35">
      <c r="A91" s="2" t="str">
        <f t="array" ref="A91">IFERROR(INDEX(tblunits[unitname],SMALL(IF((tblunits[nation]=$B$23)*(tblunits[division]=#REF!)*(tblunits[squadtype]=$D$7),ROW(tblunits[unitname])-MIN(ROW(tblunits[unitname]))+1),ROWS($A$83:A91))),"")</f>
        <v/>
      </c>
      <c r="B91" s="59"/>
    </row>
    <row r="92" spans="1:2" x14ac:dyDescent="0.35">
      <c r="A92" s="2" t="str">
        <f t="array" ref="A92">IFERROR(INDEX(tblunits[unitname],SMALL(IF((tblunits[nation]=$B$23)*(tblunits[division]=#REF!)*(tblunits[squadtype]=$D$7),ROW(tblunits[unitname])-MIN(ROW(tblunits[unitname]))+1),ROWS($A$83:A92))),"")</f>
        <v/>
      </c>
      <c r="B92" s="59"/>
    </row>
    <row r="93" spans="1:2" x14ac:dyDescent="0.35">
      <c r="A93" s="2" t="str">
        <f t="array" ref="A93">IFERROR(INDEX(tblunits[unitname],SMALL(IF((tblunits[nation]=$B$23)*(tblunits[division]=#REF!)*(tblunits[squadtype]=$D$7),ROW(tblunits[unitname])-MIN(ROW(tblunits[unitname]))+1),ROWS($A$83:A93))),"")</f>
        <v/>
      </c>
      <c r="B93" s="59"/>
    </row>
    <row r="94" spans="1:2" x14ac:dyDescent="0.35">
      <c r="A94" s="2" t="str">
        <f t="array" ref="A94">IFERROR(INDEX(tblunits[unitname],SMALL(IF((tblunits[nation]=$B$23)*(tblunits[division]=#REF!)*(tblunits[squadtype]=$D$7),ROW(tblunits[unitname])-MIN(ROW(tblunits[unitname]))+1),ROWS($A$83:A94))),"")</f>
        <v/>
      </c>
      <c r="B94" s="59"/>
    </row>
    <row r="95" spans="1:2" x14ac:dyDescent="0.35">
      <c r="A95" s="2" t="str">
        <f t="array" ref="A95">IFERROR(INDEX(tblunits[unitname],SMALL(IF((tblunits[nation]=$B$23)*(tblunits[division]=#REF!)*(tblunits[squadtype]=$D$7),ROW(tblunits[unitname])-MIN(ROW(tblunits[unitname]))+1),ROWS($A$83:A95))),"")</f>
        <v/>
      </c>
      <c r="B95" s="59"/>
    </row>
    <row r="96" spans="1:2" x14ac:dyDescent="0.35">
      <c r="A96" s="2" t="str">
        <f t="array" ref="A96">IFERROR(INDEX(tblunits[unitname],SMALL(IF((tblunits[nation]=$B$23)*(tblunits[division]=#REF!)*(tblunits[squadtype]=$D$7),ROW(tblunits[unitname])-MIN(ROW(tblunits[unitname]))+1),ROWS($A$83:A96))),"")</f>
        <v/>
      </c>
      <c r="B96" s="59"/>
    </row>
    <row r="97" spans="1:2" x14ac:dyDescent="0.35">
      <c r="A97" s="2" t="str">
        <f t="array" ref="A97">IFERROR(INDEX(tblunits[unitname],SMALL(IF((tblunits[nation]=$B$23)*(tblunits[division]=#REF!)*(tblunits[squadtype]=$D$7),ROW(tblunits[unitname])-MIN(ROW(tblunits[unitname]))+1),ROWS($A$83:A97))),"")</f>
        <v/>
      </c>
      <c r="B97" s="13"/>
    </row>
    <row r="98" spans="1:2" x14ac:dyDescent="0.35">
      <c r="A98" s="2" t="str">
        <f t="array" ref="A98">IFERROR(INDEX(tblunits[unitname],SMALL(IF((tblunits[nation]=$B$23)*(tblunits[division]=#REF!)*(tblunits[squadtype]=$D$7),ROW(tblunits[unitname])-MIN(ROW(tblunits[unitname]))+1),ROWS($A$83:A98))),"")</f>
        <v/>
      </c>
    </row>
    <row r="99" spans="1:2" x14ac:dyDescent="0.35">
      <c r="A99" s="2" t="str">
        <f t="array" ref="A99">IFERROR(INDEX(tblunits[unitname],SMALL(IF((tblunits[nation]=$B$23)*(tblunits[division]=#REF!)*(tblunits[squadtype]=$D$7),ROW(tblunits[unitname])-MIN(ROW(tblunits[unitname]))+1),ROWS($A$83:A99))),"")</f>
        <v/>
      </c>
    </row>
    <row r="100" spans="1:2" x14ac:dyDescent="0.35">
      <c r="A100" s="2" t="str">
        <f t="array" ref="A100">IFERROR(INDEX(tblunits[unitname],SMALL(IF((tblunits[nation]=$B$23)*(tblunits[division]=#REF!)*(tblunits[squadtype]=$D$7),ROW(tblunits[unitname])-MIN(ROW(tblunits[unitname]))+1),ROWS($A$83:A100))),"")</f>
        <v/>
      </c>
    </row>
    <row r="101" spans="1:2" x14ac:dyDescent="0.35">
      <c r="A101" s="2" t="str">
        <f t="array" ref="A101">IFERROR(INDEX(tblunits[unitname],SMALL(IF((tblunits[nation]=$B$23)*(tblunits[division]=#REF!)*(tblunits[squadtype]=$D$7),ROW(tblunits[unitname])-MIN(ROW(tblunits[unitname]))+1),ROWS($A$83:A101))),"")</f>
        <v/>
      </c>
    </row>
    <row r="102" spans="1:2" x14ac:dyDescent="0.35">
      <c r="A102" s="2" t="str">
        <f t="array" ref="A102">IFERROR(INDEX(tblunits[unitname],SMALL(IF((tblunits[nation]=$B$23)*(tblunits[division]=#REF!)*(tblunits[squadtype]=$D$7),ROW(tblunits[unitname])-MIN(ROW(tblunits[unitname]))+1),ROWS($A$83:A102))),"")</f>
        <v/>
      </c>
    </row>
    <row r="103" spans="1:2" x14ac:dyDescent="0.35">
      <c r="A103" s="2" t="str">
        <f t="array" ref="A103">IFERROR(INDEX(tblunits[unitname],SMALL(IF((tblunits[nation]=$B$23)*(tblunits[division]=#REF!)*(tblunits[squadtype]=$D$7),ROW(tblunits[unitname])-MIN(ROW(tblunits[unitname]))+1),ROWS($A$83:A103))),"")</f>
        <v/>
      </c>
    </row>
    <row r="104" spans="1:2" x14ac:dyDescent="0.35">
      <c r="A104" s="2" t="str">
        <f t="array" ref="A104">IFERROR(INDEX(tblunits[unitname],SMALL(IF((tblunits[nation]=$B$23)*(tblunits[division]=#REF!)*(tblunits[squadtype]=$D$7),ROW(tblunits[unitname])-MIN(ROW(tblunits[unitname]))+1),ROWS($A$83:A104))),"")</f>
        <v/>
      </c>
    </row>
    <row r="105" spans="1:2" x14ac:dyDescent="0.35">
      <c r="A105" s="2" t="str">
        <f t="array" ref="A105">IFERROR(INDEX(tblunits[unitname],SMALL(IF((tblunits[nation]=$B$23)*(tblunits[division]=#REF!)*(tblunits[squadtype]=$D$7),ROW(tblunits[unitname])-MIN(ROW(tblunits[unitname]))+1),ROWS($A$83:A105))),"")</f>
        <v/>
      </c>
    </row>
    <row r="106" spans="1:2" x14ac:dyDescent="0.35">
      <c r="A106" s="2" t="str">
        <f t="array" ref="A106">IFERROR(INDEX(tblunits[unitname],SMALL(IF((tblunits[nation]=$B$23)*(tblunits[division]=#REF!)*(tblunits[squadtype]=$D$7),ROW(tblunits[unitname])-MIN(ROW(tblunits[unitname]))+1),ROWS($A$83:A106))),"")</f>
        <v/>
      </c>
    </row>
    <row r="107" spans="1:2" x14ac:dyDescent="0.35">
      <c r="A107" s="2" t="str">
        <f t="array" ref="A107">IFERROR(INDEX(tblunits[unitname],SMALL(IF((tblunits[nation]=$B$23)*(tblunits[division]=#REF!)*(tblunits[squadtype]=$D$7),ROW(tblunits[unitname])-MIN(ROW(tblunits[unitname]))+1),ROWS($A$83:A107))),"")</f>
        <v/>
      </c>
    </row>
    <row r="108" spans="1:2" x14ac:dyDescent="0.35">
      <c r="A108" s="2" t="str">
        <f t="array" ref="A108">IFERROR(INDEX(tblunits[unitname],SMALL(IF((tblunits[nation]=$B$23)*(tblunits[division]=#REF!)*(tblunits[squadtype]=$D$7),ROW(tblunits[unitname])-MIN(ROW(tblunits[unitname]))+1),ROWS($A$83:A108))),"")</f>
        <v/>
      </c>
    </row>
    <row r="109" spans="1:2" x14ac:dyDescent="0.35">
      <c r="A109" s="2" t="str">
        <f t="array" ref="A109">IFERROR(INDEX(tblunits[unitname],SMALL(IF((tblunits[nation]=$B$23)*(tblunits[division]=#REF!)*(tblunits[squadtype]=$D$7),ROW(tblunits[unitname])-MIN(ROW(tblunits[unitname]))+1),ROWS($A$83:A109))),"")</f>
        <v/>
      </c>
    </row>
    <row r="110" spans="1:2" x14ac:dyDescent="0.35">
      <c r="A110" s="2" t="str">
        <f t="array" ref="A110">IFERROR(INDEX(tblunits[unitname],SMALL(IF((tblunits[nation]=$B$23)*(tblunits[division]=#REF!)*(tblunits[squadtype]=$D$7),ROW(tblunits[unitname])-MIN(ROW(tblunits[unitname]))+1),ROWS($A$83:A110))),"")</f>
        <v/>
      </c>
    </row>
    <row r="111" spans="1:2" x14ac:dyDescent="0.35">
      <c r="A111" s="2" t="str">
        <f t="array" ref="A111">IFERROR(INDEX(tblunits[unitname],SMALL(IF((tblunits[nation]=$B$23)*(tblunits[division]=#REF!)*(tblunits[squadtype]=$D$7),ROW(tblunits[unitname])-MIN(ROW(tblunits[unitname]))+1),ROWS($A$83:A111))),"")</f>
        <v/>
      </c>
    </row>
    <row r="112" spans="1:2" x14ac:dyDescent="0.35">
      <c r="A112" s="2" t="str">
        <f t="array" ref="A112">IFERROR(INDEX(tblunits[unitname],SMALL(IF((tblunits[nation]=$B$23)*(tblunits[division]=#REF!)*(tblunits[squadtype]=$D$7),ROW(tblunits[unitname])-MIN(ROW(tblunits[unitname]))+1),ROWS($A$83:A112))),"")</f>
        <v/>
      </c>
    </row>
    <row r="113" spans="1:1" x14ac:dyDescent="0.35">
      <c r="A113" s="2" t="str">
        <f t="array" ref="A113">IFERROR(INDEX(tblunits[unitname],SMALL(IF((tblunits[nation]=$B$23)*(tblunits[division]=#REF!)*(tblunits[squadtype]=$D$7),ROW(tblunits[unitname])-MIN(ROW(tblunits[unitname]))+1),ROWS($A$83:A113))),"")</f>
        <v/>
      </c>
    </row>
    <row r="114" spans="1:1" x14ac:dyDescent="0.35">
      <c r="A114" s="2" t="str">
        <f t="array" ref="A114">IFERROR(INDEX(tblunits[unitname],SMALL(IF((tblunits[nation]=$B$23)*(tblunits[division]=#REF!)*(tblunits[squadtype]=$D$7),ROW(tblunits[unitname])-MIN(ROW(tblunits[unitname]))+1),ROWS($A$83:A114))),"")</f>
        <v/>
      </c>
    </row>
    <row r="115" spans="1:1" x14ac:dyDescent="0.35">
      <c r="A115" s="2" t="str">
        <f t="array" ref="A115">IFERROR(INDEX(tblunits[unitname],SMALL(IF((tblunits[nation]=$B$23)*(tblunits[division]=#REF!)*(tblunits[squadtype]=$D$7),ROW(tblunits[unitname])-MIN(ROW(tblunits[unitname]))+1),ROWS($A$83:A115))),"")</f>
        <v/>
      </c>
    </row>
    <row r="116" spans="1:1" x14ac:dyDescent="0.35">
      <c r="A116" s="2" t="str">
        <f t="array" ref="A116">IFERROR(INDEX(tblunits[unitname],SMALL(IF((tblunits[nation]=$B$23)*(tblunits[division]=#REF!)*(tblunits[squadtype]=$D$7),ROW(tblunits[unitname])-MIN(ROW(tblunits[unitname]))+1),ROWS($A$83:A116))),"")</f>
        <v/>
      </c>
    </row>
    <row r="117" spans="1:1" x14ac:dyDescent="0.35">
      <c r="A117" s="2" t="str">
        <f t="array" ref="A117">IFERROR(INDEX(tblunits[unitname],SMALL(IF((tblunits[nation]=$B$23)*(tblunits[division]=#REF!)*(tblunits[squadtype]=$D$7),ROW(tblunits[unitname])-MIN(ROW(tblunits[unitname]))+1),ROWS($A$83:A117))),"")</f>
        <v/>
      </c>
    </row>
    <row r="118" spans="1:1" x14ac:dyDescent="0.35">
      <c r="A118" s="2" t="str">
        <f t="array" ref="A118">IFERROR(INDEX(tblunits[unitname],SMALL(IF((tblunits[nation]=$B$23)*(tblunits[division]=#REF!)*(tblunits[squadtype]=$D$7),ROW(tblunits[unitname])-MIN(ROW(tblunits[unitname]))+1),ROWS($A$83:A118))),"")</f>
        <v/>
      </c>
    </row>
    <row r="119" spans="1:1" x14ac:dyDescent="0.35">
      <c r="A119" s="2" t="str">
        <f t="array" ref="A119">IFERROR(INDEX(tblunits[unitname],SMALL(IF((tblunits[nation]=$B$23)*(tblunits[division]=#REF!)*(tblunits[squadtype]=$D$7),ROW(tblunits[unitname])-MIN(ROW(tblunits[unitname]))+1),ROWS($A$83:A119))),"")</f>
        <v/>
      </c>
    </row>
    <row r="120" spans="1:1" x14ac:dyDescent="0.35">
      <c r="A120" s="2" t="str">
        <f t="array" ref="A120">IFERROR(INDEX(tblunits[unitname],SMALL(IF((tblunits[nation]=$B$23)*(tblunits[division]=#REF!)*(tblunits[squadtype]=$D$7),ROW(tblunits[unitname])-MIN(ROW(tblunits[unitname]))+1),ROWS($A$83:A120))),"")</f>
        <v/>
      </c>
    </row>
    <row r="121" spans="1:1" x14ac:dyDescent="0.35">
      <c r="A121" s="2" t="str">
        <f t="array" ref="A121">IFERROR(INDEX(tblunits[unitname],SMALL(IF((tblunits[nation]=$B$23)*(tblunits[division]=#REF!)*(tblunits[squadtype]=$D$7),ROW(tblunits[unitname])-MIN(ROW(tblunits[unitname]))+1),ROWS($A$83:A121))),"")</f>
        <v/>
      </c>
    </row>
    <row r="122" spans="1:1" x14ac:dyDescent="0.35">
      <c r="A122" s="2" t="str">
        <f t="array" ref="A122">IFERROR(INDEX(tblunits[unitname],SMALL(IF((tblunits[nation]=$B$23)*(tblunits[division]=#REF!)*(tblunits[squadtype]=$D$7),ROW(tblunits[unitname])-MIN(ROW(tblunits[unitname]))+1),ROWS($A$83:A122))),"")</f>
        <v/>
      </c>
    </row>
    <row r="123" spans="1:1" x14ac:dyDescent="0.35">
      <c r="A123" s="2" t="str">
        <f t="array" ref="A123">IFERROR(INDEX(tblunits[unitname],SMALL(IF((tblunits[nation]=$B$23)*(tblunits[division]=#REF!)*(tblunits[squadtype]=$D$7),ROW(tblunits[unitname])-MIN(ROW(tblunits[unitname]))+1),ROWS($A$83:A123))),"")</f>
        <v/>
      </c>
    </row>
    <row r="124" spans="1:1" x14ac:dyDescent="0.35">
      <c r="A124" s="2" t="str">
        <f t="array" ref="A124">IFERROR(INDEX(tblunits[unitname],SMALL(IF((tblunits[nation]=$B$23)*(tblunits[division]=#REF!)*(tblunits[squadtype]=$D$7),ROW(tblunits[unitname])-MIN(ROW(tblunits[unitname]))+1),ROWS($A$83:A124))),"")</f>
        <v/>
      </c>
    </row>
    <row r="125" spans="1:1" x14ac:dyDescent="0.35">
      <c r="A125" s="2" t="str">
        <f t="array" ref="A125">IFERROR(INDEX(tblunits[unitname],SMALL(IF((tblunits[nation]=$B$23)*(tblunits[division]=#REF!)*(tblunits[squadtype]=$D$7),ROW(tblunits[unitname])-MIN(ROW(tblunits[unitname]))+1),ROWS($A$83:A125))),"")</f>
        <v/>
      </c>
    </row>
    <row r="126" spans="1:1" x14ac:dyDescent="0.35">
      <c r="A126" s="2" t="str">
        <f t="array" ref="A126">IFERROR(INDEX(tblunits[unitname],SMALL(IF((tblunits[nation]=$B$23)*(tblunits[division]=#REF!)*(tblunits[squadtype]=$D$7),ROW(tblunits[unitname])-MIN(ROW(tblunits[unitname]))+1),ROWS($A$83:A126))),"")</f>
        <v/>
      </c>
    </row>
    <row r="127" spans="1:1" x14ac:dyDescent="0.35">
      <c r="A127" s="2" t="str">
        <f t="array" ref="A127">IFERROR(INDEX(tblunits[unitname],SMALL(IF((tblunits[nation]=$B$23)*(tblunits[division]=#REF!)*(tblunits[squadtype]=$D$7),ROW(tblunits[unitname])-MIN(ROW(tblunits[unitname]))+1),ROWS($A$83:A127))),"")</f>
        <v/>
      </c>
    </row>
    <row r="128" spans="1:1" x14ac:dyDescent="0.35">
      <c r="A128" s="2" t="str">
        <f t="array" ref="A128">IFERROR(INDEX(tblunits[unitname],SMALL(IF((tblunits[nation]=$B$23)*(tblunits[division]=#REF!)*(tblunits[squadtype]=$D$7),ROW(tblunits[unitname])-MIN(ROW(tblunits[unitname]))+1),ROWS($A$83:A128))),"")</f>
        <v/>
      </c>
    </row>
    <row r="129" spans="1:1" x14ac:dyDescent="0.35">
      <c r="A129" s="2" t="str">
        <f t="array" ref="A129">IFERROR(INDEX(tblunits[unitname],SMALL(IF((tblunits[nation]=$B$23)*(tblunits[division]=#REF!)*(tblunits[squadtype]=$D$7),ROW(tblunits[unitname])-MIN(ROW(tblunits[unitname]))+1),ROWS($A$83:A129))),"")</f>
        <v/>
      </c>
    </row>
    <row r="130" spans="1:1" x14ac:dyDescent="0.35">
      <c r="A130" s="2" t="str">
        <f t="array" ref="A130">IFERROR(INDEX(tblunits[unitname],SMALL(IF((tblunits[nation]=$B$23)*(tblunits[division]=#REF!)*(tblunits[squadtype]=$D$7),ROW(tblunits[unitname])-MIN(ROW(tblunits[unitname]))+1),ROWS($A$83:A130))),"")</f>
        <v/>
      </c>
    </row>
    <row r="131" spans="1:1" x14ac:dyDescent="0.35">
      <c r="A131" s="2" t="str">
        <f t="array" ref="A131">IFERROR(INDEX(tblunits[unitname],SMALL(IF((tblunits[nation]=$B$23)*(tblunits[division]=#REF!)*(tblunits[squadtype]=$D$7),ROW(tblunits[unitname])-MIN(ROW(tblunits[unitname]))+1),ROWS($A$83:A131))),"")</f>
        <v/>
      </c>
    </row>
    <row r="132" spans="1:1" x14ac:dyDescent="0.35">
      <c r="A132" s="2" t="str">
        <f t="array" ref="A132">IFERROR(INDEX(tblunits[unitname],SMALL(IF((tblunits[nation]=$B$23)*(tblunits[division]=#REF!)*(tblunits[squadtype]=$D$7),ROW(tblunits[unitname])-MIN(ROW(tblunits[unitname]))+1),ROWS($A$83:A132))),"")</f>
        <v/>
      </c>
    </row>
    <row r="133" spans="1:1" x14ac:dyDescent="0.35">
      <c r="A133" s="2" t="str">
        <f t="array" ref="A133">IFERROR(INDEX(tblunits[unitname],SMALL(IF((tblunits[nation]=$B$23)*(tblunits[division]=#REF!)*(tblunits[squadtype]=$D$7),ROW(tblunits[unitname])-MIN(ROW(tblunits[unitname]))+1),ROWS($A$83:A133))),"")</f>
        <v/>
      </c>
    </row>
    <row r="134" spans="1:1" x14ac:dyDescent="0.35">
      <c r="A134" s="2" t="str">
        <f t="array" ref="A134">IFERROR(INDEX(tblunits[unitname],SMALL(IF((tblunits[nation]=$B$23)*(tblunits[division]=#REF!)*(tblunits[squadtype]=$D$7),ROW(tblunits[unitname])-MIN(ROW(tblunits[unitname]))+1),ROWS($A$83:A134))),"")</f>
        <v/>
      </c>
    </row>
    <row r="135" spans="1:1" x14ac:dyDescent="0.35">
      <c r="A135" s="2" t="str">
        <f t="array" ref="A135">IFERROR(INDEX(tblunits[unitname],SMALL(IF((tblunits[nation]=$B$23)*(tblunits[division]=#REF!)*(tblunits[squadtype]=$D$7),ROW(tblunits[unitname])-MIN(ROW(tblunits[unitname]))+1),ROWS($A$83:A135))),"")</f>
        <v/>
      </c>
    </row>
    <row r="136" spans="1:1" x14ac:dyDescent="0.35">
      <c r="A136" s="2" t="str">
        <f t="array" ref="A136">IFERROR(INDEX(tblunits[unitname],SMALL(IF((tblunits[nation]=$B$23)*(tblunits[division]=#REF!)*(tblunits[squadtype]=$D$7),ROW(tblunits[unitname])-MIN(ROW(tblunits[unitname]))+1),ROWS($A$83:A136))),"")</f>
        <v/>
      </c>
    </row>
    <row r="137" spans="1:1" x14ac:dyDescent="0.35">
      <c r="A137" s="2" t="str">
        <f t="array" ref="A137">IFERROR(INDEX(tblunits[unitname],SMALL(IF((tblunits[nation]=$B$23)*(tblunits[division]=#REF!)*(tblunits[squadtype]=$D$7),ROW(tblunits[unitname])-MIN(ROW(tblunits[unitname]))+1),ROWS($A$83:A137))),"")</f>
        <v/>
      </c>
    </row>
    <row r="138" spans="1:1" x14ac:dyDescent="0.35">
      <c r="A138" s="2" t="str">
        <f t="array" ref="A138">IFERROR(INDEX(tblunits[unitname],SMALL(IF((tblunits[nation]=$B$23)*(tblunits[division]=#REF!)*(tblunits[squadtype]=$D$7),ROW(tblunits[unitname])-MIN(ROW(tblunits[unitname]))+1),ROWS($A$83:A138))),"")</f>
        <v/>
      </c>
    </row>
    <row r="139" spans="1:1" x14ac:dyDescent="0.35">
      <c r="A139" s="2" t="str">
        <f t="array" ref="A139">IFERROR(INDEX(tblunits[unitname],SMALL(IF((tblunits[nation]=$B$23)*(tblunits[division]=#REF!)*(tblunits[squadtype]=$D$7),ROW(tblunits[unitname])-MIN(ROW(tblunits[unitname]))+1),ROWS($A$83:A139))),"")</f>
        <v/>
      </c>
    </row>
    <row r="140" spans="1:1" x14ac:dyDescent="0.35">
      <c r="A140" s="2" t="str">
        <f t="array" ref="A140">IFERROR(INDEX(tblunits[unitname],SMALL(IF((tblunits[nation]=$B$23)*(tblunits[division]=#REF!)*(tblunits[squadtype]=$D$7),ROW(tblunits[unitname])-MIN(ROW(tblunits[unitname]))+1),ROWS($A$83:A140))),"")</f>
        <v/>
      </c>
    </row>
    <row r="141" spans="1:1" x14ac:dyDescent="0.35">
      <c r="A141" s="2" t="str">
        <f t="array" ref="A141">IFERROR(INDEX(tblunits[unitname],SMALL(IF((tblunits[nation]=$B$23)*(tblunits[division]=#REF!)*(tblunits[squadtype]=$D$7),ROW(tblunits[unitname])-MIN(ROW(tblunits[unitname]))+1),ROWS($A$83:A141))),"")</f>
        <v/>
      </c>
    </row>
    <row r="142" spans="1:1" x14ac:dyDescent="0.35">
      <c r="A142" s="2" t="str">
        <f t="array" ref="A142">IFERROR(INDEX(tblunits[unitname],SMALL(IF((tblunits[nation]=$B$23)*(tblunits[division]=#REF!)*(tblunits[squadtype]=$D$7),ROW(tblunits[unitname])-MIN(ROW(tblunits[unitname]))+1),ROWS($A$83:A142))),"")</f>
        <v/>
      </c>
    </row>
    <row r="143" spans="1:1" x14ac:dyDescent="0.35">
      <c r="A143" s="2" t="str">
        <f t="array" ref="A143">IFERROR(INDEX(tblunits[unitname],SMALL(IF((tblunits[nation]=$B$23)*(tblunits[division]=#REF!)*(tblunits[squadtype]=$D$7),ROW(tblunits[unitname])-MIN(ROW(tblunits[unitname]))+1),ROWS($A$83:A143))),"")</f>
        <v/>
      </c>
    </row>
    <row r="144" spans="1:1" x14ac:dyDescent="0.35">
      <c r="A144" s="2" t="str">
        <f t="array" ref="A144">IFERROR(INDEX(tblunits[unitname],SMALL(IF((tblunits[nation]=$B$23)*(tblunits[division]=#REF!)*(tblunits[squadtype]=$D$7),ROW(tblunits[unitname])-MIN(ROW(tblunits[unitname]))+1),ROWS($A$83:A144))),"")</f>
        <v/>
      </c>
    </row>
    <row r="145" spans="1:1" x14ac:dyDescent="0.35">
      <c r="A145" s="2" t="str">
        <f t="array" ref="A145">IFERROR(INDEX(tblunits[unitname],SMALL(IF((tblunits[nation]=$B$23)*(tblunits[division]=#REF!)*(tblunits[squadtype]=$D$7),ROW(tblunits[unitname])-MIN(ROW(tblunits[unitname]))+1),ROWS($A$83:A145))),"")</f>
        <v/>
      </c>
    </row>
    <row r="146" spans="1:1" x14ac:dyDescent="0.35">
      <c r="A146" s="2" t="str">
        <f t="array" ref="A146">IFERROR(INDEX(tblunits[unitname],SMALL(IF((tblunits[nation]=$B$23)*(tblunits[division]=#REF!)*(tblunits[squadtype]=$D$7),ROW(tblunits[unitname])-MIN(ROW(tblunits[unitname]))+1),ROWS($A$83:A146))),"")</f>
        <v/>
      </c>
    </row>
    <row r="147" spans="1:1" x14ac:dyDescent="0.35">
      <c r="A147" s="2" t="str">
        <f t="array" ref="A147">IFERROR(INDEX(tblunits[unitname],SMALL(IF((tblunits[nation]=$B$23)*(tblunits[division]=#REF!)*(tblunits[squadtype]=$D$7),ROW(tblunits[unitname])-MIN(ROW(tblunits[unitname]))+1),ROWS($A$83:A147))),"")</f>
        <v/>
      </c>
    </row>
    <row r="148" spans="1:1" x14ac:dyDescent="0.35">
      <c r="A148" s="2" t="str">
        <f t="array" ref="A148">IFERROR(INDEX(tblunits[unitname],SMALL(IF((tblunits[nation]=$B$23)*(tblunits[division]=#REF!)*(tblunits[squadtype]=$D$7),ROW(tblunits[unitname])-MIN(ROW(tblunits[unitname]))+1),ROWS($A$83:A148))),"")</f>
        <v/>
      </c>
    </row>
    <row r="149" spans="1:1" x14ac:dyDescent="0.35">
      <c r="A149" s="2" t="str">
        <f t="array" ref="A149">IFERROR(INDEX(tblunits[unitname],SMALL(IF((tblunits[nation]=$B$23)*(tblunits[division]=#REF!)*(tblunits[squadtype]=$D$7),ROW(tblunits[unitname])-MIN(ROW(tblunits[unitname]))+1),ROWS($A$83:A149))),"")</f>
        <v/>
      </c>
    </row>
    <row r="150" spans="1:1" x14ac:dyDescent="0.35">
      <c r="A150" s="2" t="str">
        <f t="array" ref="A150">IFERROR(INDEX(tblunits[unitname],SMALL(IF((tblunits[nation]=$B$23)*(tblunits[division]=#REF!)*(tblunits[squadtype]=$D$7),ROW(tblunits[unitname])-MIN(ROW(tblunits[unitname]))+1),ROWS($A$83:A150))),"")</f>
        <v/>
      </c>
    </row>
    <row r="151" spans="1:1" x14ac:dyDescent="0.35">
      <c r="A151" s="2" t="str">
        <f t="array" ref="A151">IFERROR(INDEX(tblunits[unitname],SMALL(IF((tblunits[nation]=$B$23)*(tblunits[division]=#REF!)*(tblunits[squadtype]=$D$7),ROW(tblunits[unitname])-MIN(ROW(tblunits[unitname]))+1),ROWS($A$83:A151))),"")</f>
        <v/>
      </c>
    </row>
    <row r="152" spans="1:1" x14ac:dyDescent="0.35">
      <c r="A152" s="2" t="str">
        <f t="array" ref="A152">IFERROR(INDEX(tblunits[unitname],SMALL(IF((tblunits[nation]=$B$23)*(tblunits[division]=#REF!)*(tblunits[squadtype]=$D$7),ROW(tblunits[unitname])-MIN(ROW(tblunits[unitname]))+1),ROWS($A$83:A152))),"")</f>
        <v/>
      </c>
    </row>
    <row r="153" spans="1:1" x14ac:dyDescent="0.35">
      <c r="A153" s="2" t="str">
        <f t="array" ref="A153">IFERROR(INDEX(tblunits[unitname],SMALL(IF((tblunits[nation]=$B$23)*(tblunits[division]=#REF!)*(tblunits[squadtype]=$D$7),ROW(tblunits[unitname])-MIN(ROW(tblunits[unitname]))+1),ROWS($A$83:A153))),"")</f>
        <v/>
      </c>
    </row>
    <row r="154" spans="1:1" x14ac:dyDescent="0.35">
      <c r="A154" s="2" t="str">
        <f t="array" ref="A154">IFERROR(INDEX(tblunits[unitname],SMALL(IF((tblunits[nation]=$B$23)*(tblunits[division]=#REF!)*(tblunits[squadtype]=$D$7),ROW(tblunits[unitname])-MIN(ROW(tblunits[unitname]))+1),ROWS($A$83:A154))),"")</f>
        <v/>
      </c>
    </row>
    <row r="155" spans="1:1" x14ac:dyDescent="0.35">
      <c r="A155" s="2" t="str">
        <f t="array" ref="A155">IFERROR(INDEX(tblunits[unitname],SMALL(IF((tblunits[nation]=$B$23)*(tblunits[division]=#REF!)*(tblunits[squadtype]=$D$7),ROW(tblunits[unitname])-MIN(ROW(tblunits[unitname]))+1),ROWS($A$83:A155))),"")</f>
        <v/>
      </c>
    </row>
    <row r="156" spans="1:1" x14ac:dyDescent="0.35">
      <c r="A156" s="2" t="str">
        <f t="array" ref="A156">IFERROR(INDEX(tblunits[unitname],SMALL(IF((tblunits[nation]=$B$23)*(tblunits[division]=#REF!)*(tblunits[squadtype]=$D$7),ROW(tblunits[unitname])-MIN(ROW(tblunits[unitname]))+1),ROWS($A$83:A156))),"")</f>
        <v/>
      </c>
    </row>
    <row r="157" spans="1:1" x14ac:dyDescent="0.35">
      <c r="A157" s="2" t="str">
        <f t="array" ref="A157">IFERROR(INDEX(tblunits[unitname],SMALL(IF((tblunits[nation]=$B$23)*(tblunits[division]=#REF!)*(tblunits[squadtype]=$D$7),ROW(tblunits[unitname])-MIN(ROW(tblunits[unitname]))+1),ROWS($A$83:A157))),"")</f>
        <v/>
      </c>
    </row>
    <row r="158" spans="1:1" x14ac:dyDescent="0.35">
      <c r="A158" s="2" t="str">
        <f t="array" ref="A158">IFERROR(INDEX(tblunits[unitname],SMALL(IF((tblunits[nation]=$B$23)*(tblunits[division]=#REF!)*(tblunits[squadtype]=$D$7),ROW(tblunits[unitname])-MIN(ROW(tblunits[unitname]))+1),ROWS($A$83:A158))),"")</f>
        <v/>
      </c>
    </row>
    <row r="159" spans="1:1" x14ac:dyDescent="0.35">
      <c r="A159" s="2" t="str">
        <f t="array" ref="A159">IFERROR(INDEX(tblunits[unitname],SMALL(IF((tblunits[nation]=$B$23)*(tblunits[division]=#REF!)*(tblunits[squadtype]=$D$7),ROW(tblunits[unitname])-MIN(ROW(tblunits[unitname]))+1),ROWS($A$83:A159))),"")</f>
        <v/>
      </c>
    </row>
    <row r="160" spans="1:1" x14ac:dyDescent="0.35">
      <c r="A160" s="2" t="str">
        <f t="array" ref="A160">IFERROR(INDEX(tblunits[unitname],SMALL(IF((tblunits[nation]=$B$23)*(tblunits[division]=#REF!)*(tblunits[squadtype]=$D$7),ROW(tblunits[unitname])-MIN(ROW(tblunits[unitname]))+1),ROWS($A$83:A160))),"")</f>
        <v/>
      </c>
    </row>
    <row r="161" spans="1:1" x14ac:dyDescent="0.35">
      <c r="A161" s="2" t="str">
        <f t="array" ref="A161">IFERROR(INDEX(tblunits[unitname],SMALL(IF((tblunits[nation]=$B$23)*(tblunits[division]=#REF!)*(tblunits[squadtype]=$D$7),ROW(tblunits[unitname])-MIN(ROW(tblunits[unitname]))+1),ROWS($A$83:A161))),"")</f>
        <v/>
      </c>
    </row>
    <row r="162" spans="1:1" x14ac:dyDescent="0.35">
      <c r="A162" s="2" t="str">
        <f t="array" ref="A162">IFERROR(INDEX(tblunits[unitname],SMALL(IF((tblunits[nation]=$B$23)*(tblunits[division]=#REF!)*(tblunits[squadtype]=$D$7),ROW(tblunits[unitname])-MIN(ROW(tblunits[unitname]))+1),ROWS($A$83:A162))),"")</f>
        <v/>
      </c>
    </row>
    <row r="163" spans="1:1" x14ac:dyDescent="0.35">
      <c r="A163" s="2" t="str">
        <f t="array" ref="A163">IFERROR(INDEX(tblunits[unitname],SMALL(IF((tblunits[nation]=$B$23)*(tblunits[division]=#REF!)*(tblunits[squadtype]=$D$7),ROW(tblunits[unitname])-MIN(ROW(tblunits[unitname]))+1),ROWS($A$83:A163))),"")</f>
        <v/>
      </c>
    </row>
    <row r="164" spans="1:1" x14ac:dyDescent="0.35">
      <c r="A164" s="2" t="str">
        <f t="array" ref="A164">IFERROR(INDEX(tblunits[unitname],SMALL(IF((tblunits[nation]=$B$23)*(tblunits[division]=#REF!)*(tblunits[squadtype]=$D$7),ROW(tblunits[unitname])-MIN(ROW(tblunits[unitname]))+1),ROWS($A$83:A164))),"")</f>
        <v/>
      </c>
    </row>
    <row r="165" spans="1:1" x14ac:dyDescent="0.35">
      <c r="A165" s="2" t="str">
        <f t="array" ref="A165">IFERROR(INDEX(tblunits[unitname],SMALL(IF((tblunits[nation]=$B$23)*(tblunits[division]=#REF!)*(tblunits[squadtype]=$D$7),ROW(tblunits[unitname])-MIN(ROW(tblunits[unitname]))+1),ROWS($A$83:A165))),"")</f>
        <v/>
      </c>
    </row>
    <row r="166" spans="1:1" x14ac:dyDescent="0.35">
      <c r="A166" s="2" t="str">
        <f t="array" ref="A166">IFERROR(INDEX(tblunits[unitname],SMALL(IF((tblunits[nation]=$B$23)*(tblunits[division]=#REF!)*(tblunits[squadtype]=$D$7),ROW(tblunits[unitname])-MIN(ROW(tblunits[unitname]))+1),ROWS($A$83:A166))),"")</f>
        <v/>
      </c>
    </row>
    <row r="167" spans="1:1" x14ac:dyDescent="0.35">
      <c r="A167" s="2" t="str">
        <f t="array" ref="A167">IFERROR(INDEX(tblunits[unitname],SMALL(IF((tblunits[nation]=$B$23)*(tblunits[division]=#REF!)*(tblunits[squadtype]=$D$7),ROW(tblunits[unitname])-MIN(ROW(tblunits[unitname]))+1),ROWS($A$83:A167))),"")</f>
        <v/>
      </c>
    </row>
    <row r="168" spans="1:1" x14ac:dyDescent="0.35">
      <c r="A168" s="2" t="str">
        <f t="array" ref="A168">IFERROR(INDEX(tblunits[unitname],SMALL(IF((tblunits[nation]=$B$23)*(tblunits[division]=#REF!)*(tblunits[squadtype]=$D$7),ROW(tblunits[unitname])-MIN(ROW(tblunits[unitname]))+1),ROWS($A$83:A168))),"")</f>
        <v/>
      </c>
    </row>
    <row r="169" spans="1:1" x14ac:dyDescent="0.35">
      <c r="A169" s="2" t="str">
        <f t="array" ref="A169">IFERROR(INDEX(tblunits[unitname],SMALL(IF((tblunits[nation]=$B$23)*(tblunits[division]=#REF!)*(tblunits[squadtype]=$D$7),ROW(tblunits[unitname])-MIN(ROW(tblunits[unitname]))+1),ROWS($A$83:A169))),"")</f>
        <v/>
      </c>
    </row>
    <row r="170" spans="1:1" x14ac:dyDescent="0.35">
      <c r="A170" s="2" t="str">
        <f t="array" ref="A170">IFERROR(INDEX(tblunits[unitname],SMALL(IF((tblunits[nation]=$B$23)*(tblunits[division]=#REF!)*(tblunits[squadtype]=$D$7),ROW(tblunits[unitname])-MIN(ROW(tblunits[unitname]))+1),ROWS($A$83:A170))),"")</f>
        <v/>
      </c>
    </row>
    <row r="171" spans="1:1" x14ac:dyDescent="0.35">
      <c r="A171" s="2" t="str">
        <f t="array" ref="A171">IFERROR(INDEX(tblunits[unitname],SMALL(IF((tblunits[nation]=$B$23)*(tblunits[division]=#REF!)*(tblunits[squadtype]=$D$7),ROW(tblunits[unitname])-MIN(ROW(tblunits[unitname]))+1),ROWS($A$83:A171))),"")</f>
        <v/>
      </c>
    </row>
    <row r="172" spans="1:1" x14ac:dyDescent="0.35">
      <c r="A172" s="2" t="str">
        <f t="array" ref="A172">IFERROR(INDEX(tblunits[unitname],SMALL(IF((tblunits[nation]=$B$23)*(tblunits[division]=#REF!)*(tblunits[squadtype]=$D$7),ROW(tblunits[unitname])-MIN(ROW(tblunits[unitname]))+1),ROWS($A$83:A172))),"")</f>
        <v/>
      </c>
    </row>
    <row r="173" spans="1:1" x14ac:dyDescent="0.35">
      <c r="A173" s="2" t="str">
        <f t="array" ref="A173">IFERROR(INDEX(tblunits[unitname],SMALL(IF((tblunits[nation]=$B$23)*(tblunits[division]=#REF!)*(tblunits[squadtype]=$D$7),ROW(tblunits[unitname])-MIN(ROW(tblunits[unitname]))+1),ROWS($A$83:A173))),"")</f>
        <v/>
      </c>
    </row>
    <row r="174" spans="1:1" x14ac:dyDescent="0.35">
      <c r="A174" s="2" t="str">
        <f t="array" ref="A174">IFERROR(INDEX(tblunits[unitname],SMALL(IF((tblunits[nation]=$B$23)*(tblunits[division]=#REF!)*(tblunits[squadtype]=$D$7),ROW(tblunits[unitname])-MIN(ROW(tblunits[unitname]))+1),ROWS($A$83:A174))),"")</f>
        <v/>
      </c>
    </row>
    <row r="175" spans="1:1" x14ac:dyDescent="0.35">
      <c r="A175" s="2" t="str">
        <f t="array" ref="A175">IFERROR(INDEX(tblunits[unitname],SMALL(IF((tblunits[nation]=$B$23)*(tblunits[division]=#REF!)*(tblunits[squadtype]=$D$7),ROW(tblunits[unitname])-MIN(ROW(tblunits[unitname]))+1),ROWS($A$83:A175))),"")</f>
        <v/>
      </c>
    </row>
    <row r="176" spans="1:1" x14ac:dyDescent="0.35">
      <c r="A176" s="2" t="str">
        <f t="array" ref="A176">IFERROR(INDEX(tblunits[unitname],SMALL(IF((tblunits[nation]=$B$23)*(tblunits[division]=#REF!)*(tblunits[squadtype]=$D$7),ROW(tblunits[unitname])-MIN(ROW(tblunits[unitname]))+1),ROWS($A$83:A176))),"")</f>
        <v/>
      </c>
    </row>
    <row r="177" spans="1:1" x14ac:dyDescent="0.35">
      <c r="A177" s="2" t="str">
        <f t="array" ref="A177">IFERROR(INDEX(tblunits[unitname],SMALL(IF((tblunits[nation]=$B$23)*(tblunits[division]=#REF!)*(tblunits[squadtype]=$D$7),ROW(tblunits[unitname])-MIN(ROW(tblunits[unitname]))+1),ROWS($A$83:A177))),"")</f>
        <v/>
      </c>
    </row>
    <row r="178" spans="1:1" x14ac:dyDescent="0.35">
      <c r="A178" s="2" t="str">
        <f t="array" ref="A178">IFERROR(INDEX(tblunits[unitname],SMALL(IF((tblunits[nation]=$B$23)*(tblunits[division]=#REF!)*(tblunits[squadtype]=$D$7),ROW(tblunits[unitname])-MIN(ROW(tblunits[unitname]))+1),ROWS($A$83:A178))),"")</f>
        <v/>
      </c>
    </row>
    <row r="179" spans="1:1" x14ac:dyDescent="0.35">
      <c r="A179" s="2" t="str">
        <f t="array" ref="A179">IFERROR(INDEX(tblunits[unitname],SMALL(IF((tblunits[nation]=$B$23)*(tblunits[division]=#REF!)*(tblunits[squadtype]=$D$7),ROW(tblunits[unitname])-MIN(ROW(tblunits[unitname]))+1),ROWS($A$83:A179))),"")</f>
        <v/>
      </c>
    </row>
    <row r="180" spans="1:1" x14ac:dyDescent="0.35">
      <c r="A180" s="2" t="str">
        <f t="array" ref="A180">IFERROR(INDEX(tblunits[unitname],SMALL(IF((tblunits[nation]=$B$23)*(tblunits[division]=#REF!)*(tblunits[squadtype]=$D$7),ROW(tblunits[unitname])-MIN(ROW(tblunits[unitname]))+1),ROWS($A$83:A180))),"")</f>
        <v/>
      </c>
    </row>
    <row r="181" spans="1:1" x14ac:dyDescent="0.35">
      <c r="A181" s="2" t="str">
        <f t="array" ref="A181">IFERROR(INDEX(tblunits[unitname],SMALL(IF((tblunits[nation]=$B$23)*(tblunits[division]=#REF!)*(tblunits[squadtype]=$D$7),ROW(tblunits[unitname])-MIN(ROW(tblunits[unitname]))+1),ROWS($A$83:A181))),"")</f>
        <v/>
      </c>
    </row>
    <row r="182" spans="1:1" x14ac:dyDescent="0.35">
      <c r="A182" s="2" t="str">
        <f t="array" ref="A182">IFERROR(INDEX(tblunits[unitname],SMALL(IF((tblunits[nation]=$B$23)*(tblunits[division]=#REF!)*(tblunits[squadtype]=$D$7),ROW(tblunits[unitname])-MIN(ROW(tblunits[unitname]))+1),ROWS($A$83:A182))),"")</f>
        <v/>
      </c>
    </row>
    <row r="183" spans="1:1" x14ac:dyDescent="0.35">
      <c r="A183" s="2" t="str">
        <f t="array" ref="A183">IFERROR(INDEX(tblunits[unitname],SMALL(IF((tblunits[nation]=$B$23)*(tblunits[division]=#REF!)*(tblunits[squadtype]=$D$7),ROW(tblunits[unitname])-MIN(ROW(tblunits[unitname]))+1),ROWS($A$83:A183))),"")</f>
        <v/>
      </c>
    </row>
    <row r="184" spans="1:1" x14ac:dyDescent="0.35">
      <c r="A184" s="2" t="str">
        <f t="array" ref="A184">IFERROR(INDEX(tblunits[unitname],SMALL(IF((tblunits[nation]=$B$23)*(tblunits[division]=#REF!)*(tblunits[squadtype]=$D$7),ROW(tblunits[unitname])-MIN(ROW(tblunits[unitname]))+1),ROWS($A$83:A184))),"")</f>
        <v/>
      </c>
    </row>
    <row r="185" spans="1:1" x14ac:dyDescent="0.35">
      <c r="A185" s="2" t="str">
        <f t="array" ref="A185">IFERROR(INDEX(tblunits[unitname],SMALL(IF((tblunits[nation]=$B$23)*(tblunits[division]=#REF!)*(tblunits[squadtype]=$D$7),ROW(tblunits[unitname])-MIN(ROW(tblunits[unitname]))+1),ROWS($A$83:A185))),"")</f>
        <v/>
      </c>
    </row>
    <row r="186" spans="1:1" x14ac:dyDescent="0.35">
      <c r="A186" s="2" t="str">
        <f t="array" ref="A186">IFERROR(INDEX(tblunits[unitname],SMALL(IF((tblunits[nation]=$B$23)*(tblunits[division]=#REF!)*(tblunits[squadtype]=$D$7),ROW(tblunits[unitname])-MIN(ROW(tblunits[unitname]))+1),ROWS($A$83:A186))),"")</f>
        <v/>
      </c>
    </row>
    <row r="187" spans="1:1" x14ac:dyDescent="0.35">
      <c r="A187" s="2" t="str">
        <f t="array" ref="A187">IFERROR(INDEX(tblunits[unitname],SMALL(IF((tblunits[nation]=$B$23)*(tblunits[division]=#REF!)*(tblunits[squadtype]=$D$7),ROW(tblunits[unitname])-MIN(ROW(tblunits[unitname]))+1),ROWS($A$83:A187))),"")</f>
        <v/>
      </c>
    </row>
    <row r="188" spans="1:1" x14ac:dyDescent="0.35">
      <c r="A188" s="2" t="str">
        <f t="array" ref="A188">IFERROR(INDEX(tblunits[unitname],SMALL(IF((tblunits[nation]=$B$23)*(tblunits[division]=#REF!)*(tblunits[squadtype]=$D$7),ROW(tblunits[unitname])-MIN(ROW(tblunits[unitname]))+1),ROWS($A$83:A188))),"")</f>
        <v/>
      </c>
    </row>
    <row r="189" spans="1:1" x14ac:dyDescent="0.35">
      <c r="A189" s="2" t="str">
        <f t="array" ref="A189">IFERROR(INDEX(tblunits[unitname],SMALL(IF((tblunits[nation]=$B$23)*(tblunits[division]=#REF!)*(tblunits[squadtype]=$D$7),ROW(tblunits[unitname])-MIN(ROW(tblunits[unitname]))+1),ROWS($A$83:A189))),"")</f>
        <v/>
      </c>
    </row>
    <row r="190" spans="1:1" x14ac:dyDescent="0.35">
      <c r="A190" s="2" t="str">
        <f t="array" ref="A190">IFERROR(INDEX(tblunits[unitname],SMALL(IF((tblunits[nation]=$B$23)*(tblunits[division]=#REF!)*(tblunits[squadtype]=$D$7),ROW(tblunits[unitname])-MIN(ROW(tblunits[unitname]))+1),ROWS($A$83:A190))),"")</f>
        <v/>
      </c>
    </row>
    <row r="191" spans="1:1" x14ac:dyDescent="0.35">
      <c r="A191" s="2" t="str">
        <f t="array" ref="A191">IFERROR(INDEX(tblunits[unitname],SMALL(IF((tblunits[nation]=$B$23)*(tblunits[division]=#REF!)*(tblunits[squadtype]=$D$7),ROW(tblunits[unitname])-MIN(ROW(tblunits[unitname]))+1),ROWS($A$83:A191))),"")</f>
        <v/>
      </c>
    </row>
    <row r="192" spans="1:1" x14ac:dyDescent="0.35">
      <c r="A192" s="2" t="str">
        <f t="array" ref="A192">IFERROR(INDEX(tblunits[unitname],SMALL(IF((tblunits[nation]=$B$23)*(tblunits[division]=#REF!)*(tblunits[squadtype]=$D$7),ROW(tblunits[unitname])-MIN(ROW(tblunits[unitname]))+1),ROWS($A$83:A192))),"")</f>
        <v/>
      </c>
    </row>
    <row r="193" spans="1:1" x14ac:dyDescent="0.35">
      <c r="A193" s="2" t="str">
        <f t="array" ref="A193">IFERROR(INDEX(tblunits[unitname],SMALL(IF((tblunits[nation]=$B$23)*(tblunits[division]=#REF!)*(tblunits[squadtype]=$D$7),ROW(tblunits[unitname])-MIN(ROW(tblunits[unitname]))+1),ROWS($A$83:A193))),"")</f>
        <v/>
      </c>
    </row>
    <row r="194" spans="1:1" x14ac:dyDescent="0.35">
      <c r="A194" s="2" t="str">
        <f t="array" ref="A194">IFERROR(INDEX(tblunits[unitname],SMALL(IF((tblunits[nation]=$B$23)*(tblunits[division]=#REF!)*(tblunits[squadtype]=$D$7),ROW(tblunits[unitname])-MIN(ROW(tblunits[unitname]))+1),ROWS($A$83:A194))),"")</f>
        <v/>
      </c>
    </row>
    <row r="195" spans="1:1" x14ac:dyDescent="0.35">
      <c r="A195" s="2" t="str">
        <f t="array" ref="A195">IFERROR(INDEX(tblunits[unitname],SMALL(IF((tblunits[nation]=$B$23)*(tblunits[division]=#REF!)*(tblunits[squadtype]=$D$7),ROW(tblunits[unitname])-MIN(ROW(tblunits[unitname]))+1),ROWS($A$83:A195))),"")</f>
        <v/>
      </c>
    </row>
    <row r="196" spans="1:1" x14ac:dyDescent="0.35">
      <c r="A196" s="2" t="str">
        <f t="array" ref="A196">IFERROR(INDEX(tblunits[unitname],SMALL(IF((tblunits[nation]=$B$23)*(tblunits[division]=#REF!)*(tblunits[squadtype]=$D$7),ROW(tblunits[unitname])-MIN(ROW(tblunits[unitname]))+1),ROWS($A$83:A196))),"")</f>
        <v/>
      </c>
    </row>
    <row r="197" spans="1:1" x14ac:dyDescent="0.35">
      <c r="A197" s="2" t="str">
        <f t="array" ref="A197">IFERROR(INDEX(tblunits[unitname],SMALL(IF((tblunits[nation]=$B$23)*(tblunits[division]=#REF!)*(tblunits[squadtype]=$D$7),ROW(tblunits[unitname])-MIN(ROW(tblunits[unitname]))+1),ROWS($A$83:A197))),"")</f>
        <v/>
      </c>
    </row>
    <row r="198" spans="1:1" x14ac:dyDescent="0.35">
      <c r="A198" s="2" t="str">
        <f t="array" ref="A198">IFERROR(INDEX(tblunits[unitname],SMALL(IF((tblunits[nation]=$B$23)*(tblunits[division]=#REF!)*(tblunits[squadtype]=$D$7),ROW(tblunits[unitname])-MIN(ROW(tblunits[unitname]))+1),ROWS($A$83:A198))),"")</f>
        <v/>
      </c>
    </row>
    <row r="199" spans="1:1" x14ac:dyDescent="0.35">
      <c r="A199" s="2" t="str">
        <f t="array" ref="A199">IFERROR(INDEX(tblunits[unitname],SMALL(IF((tblunits[nation]=$B$23)*(tblunits[division]=#REF!)*(tblunits[squadtype]=$D$7),ROW(tblunits[unitname])-MIN(ROW(tblunits[unitname]))+1),ROWS($A$83:A199))),"")</f>
        <v/>
      </c>
    </row>
    <row r="200" spans="1:1" x14ac:dyDescent="0.35">
      <c r="A200" s="2" t="str">
        <f t="array" ref="A200">IFERROR(INDEX(tblunits[unitname],SMALL(IF((tblunits[nation]=$B$23)*(tblunits[division]=#REF!)*(tblunits[squadtype]=$D$7),ROW(tblunits[unitname])-MIN(ROW(tblunits[unitname]))+1),ROWS($A$83:A200))),"")</f>
        <v/>
      </c>
    </row>
    <row r="201" spans="1:1" x14ac:dyDescent="0.35">
      <c r="A201" s="2" t="str">
        <f t="array" ref="A201">IFERROR(INDEX(tblunits[unitname],SMALL(IF((tblunits[nation]=$B$23)*(tblunits[division]=#REF!)*(tblunits[squadtype]=$D$7),ROW(tblunits[unitname])-MIN(ROW(tblunits[unitname]))+1),ROWS($A$83:A201))),"")</f>
        <v/>
      </c>
    </row>
    <row r="202" spans="1:1" x14ac:dyDescent="0.35">
      <c r="A202" s="2" t="str">
        <f t="array" ref="A202">IFERROR(INDEX(tblunits[unitname],SMALL(IF((tblunits[nation]=$B$23)*(tblunits[division]=#REF!)*(tblunits[squadtype]=$D$7),ROW(tblunits[unitname])-MIN(ROW(tblunits[unitname]))+1),ROWS($A$83:A202))),"")</f>
        <v/>
      </c>
    </row>
    <row r="203" spans="1:1" x14ac:dyDescent="0.35">
      <c r="A203" s="2" t="str">
        <f t="array" ref="A203">IFERROR(INDEX(tblunits[unitname],SMALL(IF((tblunits[nation]=$B$23)*(tblunits[division]=#REF!)*(tblunits[squadtype]=$D$7),ROW(tblunits[unitname])-MIN(ROW(tblunits[unitname]))+1),ROWS($A$83:A203))),"")</f>
        <v/>
      </c>
    </row>
    <row r="204" spans="1:1" x14ac:dyDescent="0.35">
      <c r="A204" s="2" t="str">
        <f t="array" ref="A204">IFERROR(INDEX(tblunits[unitname],SMALL(IF((tblunits[nation]=$B$23)*(tblunits[division]=#REF!)*(tblunits[squadtype]=$D$7),ROW(tblunits[unitname])-MIN(ROW(tblunits[unitname]))+1),ROWS($A$83:A204))),"")</f>
        <v/>
      </c>
    </row>
    <row r="205" spans="1:1" x14ac:dyDescent="0.35">
      <c r="A205" s="2" t="str">
        <f t="array" ref="A205">IFERROR(INDEX(tblunits[unitname],SMALL(IF((tblunits[nation]=$B$23)*(tblunits[division]=#REF!)*(tblunits[squadtype]=$D$7),ROW(tblunits[unitname])-MIN(ROW(tblunits[unitname]))+1),ROWS($A$83:A205))),"")</f>
        <v/>
      </c>
    </row>
    <row r="206" spans="1:1" x14ac:dyDescent="0.35">
      <c r="A206" s="2" t="str">
        <f t="array" ref="A206">IFERROR(INDEX(tblunits[unitname],SMALL(IF((tblunits[nation]=$B$23)*(tblunits[division]=#REF!)*(tblunits[squadtype]=$D$7),ROW(tblunits[unitname])-MIN(ROW(tblunits[unitname]))+1),ROWS($A$83:A206))),"")</f>
        <v/>
      </c>
    </row>
    <row r="207" spans="1:1" x14ac:dyDescent="0.35">
      <c r="A207" s="2" t="str">
        <f t="array" ref="A207">IFERROR(INDEX(tblunits[unitname],SMALL(IF((tblunits[nation]=$B$23)*(tblunits[division]=#REF!)*(tblunits[squadtype]=$D$7),ROW(tblunits[unitname])-MIN(ROW(tblunits[unitname]))+1),ROWS($A$83:A207))),"")</f>
        <v/>
      </c>
    </row>
    <row r="208" spans="1:1" x14ac:dyDescent="0.35">
      <c r="A208" s="2" t="str">
        <f t="array" ref="A208">IFERROR(INDEX(tblunits[unitname],SMALL(IF((tblunits[nation]=$B$23)*(tblunits[division]=#REF!)*(tblunits[squadtype]=$D$7),ROW(tblunits[unitname])-MIN(ROW(tblunits[unitname]))+1),ROWS($A$83:A208))),"")</f>
        <v/>
      </c>
    </row>
    <row r="209" spans="1:1" x14ac:dyDescent="0.35">
      <c r="A209" s="2" t="str">
        <f t="array" ref="A209">IFERROR(INDEX(tblunits[unitname],SMALL(IF((tblunits[nation]=$B$23)*(tblunits[division]=#REF!)*(tblunits[squadtype]=$D$7),ROW(tblunits[unitname])-MIN(ROW(tblunits[unitname]))+1),ROWS($A$83:A209))),"")</f>
        <v/>
      </c>
    </row>
    <row r="210" spans="1:1" x14ac:dyDescent="0.35">
      <c r="A210" s="2" t="str">
        <f t="array" ref="A210">IFERROR(INDEX(tblunits[unitname],SMALL(IF((tblunits[nation]=$B$23)*(tblunits[division]=#REF!)*(tblunits[squadtype]=$D$7),ROW(tblunits[unitname])-MIN(ROW(tblunits[unitname]))+1),ROWS($A$83:A210))),"")</f>
        <v/>
      </c>
    </row>
    <row r="211" spans="1:1" x14ac:dyDescent="0.35">
      <c r="A211" s="2" t="str">
        <f t="array" ref="A211">IFERROR(INDEX(tblunits[unitname],SMALL(IF((tblunits[nation]=$B$23)*(tblunits[division]=#REF!)*(tblunits[squadtype]=$D$7),ROW(tblunits[unitname])-MIN(ROW(tblunits[unitname]))+1),ROWS($A$83:A211))),"")</f>
        <v/>
      </c>
    </row>
    <row r="212" spans="1:1" x14ac:dyDescent="0.35">
      <c r="A212" s="2" t="str">
        <f t="array" ref="A212">IFERROR(INDEX(tblunits[unitname],SMALL(IF((tblunits[nation]=$B$23)*(tblunits[division]=#REF!)*(tblunits[squadtype]=$D$7),ROW(tblunits[unitname])-MIN(ROW(tblunits[unitname]))+1),ROWS($A$83:A212))),"")</f>
        <v/>
      </c>
    </row>
    <row r="213" spans="1:1" x14ac:dyDescent="0.35">
      <c r="A213" s="2" t="str">
        <f t="array" ref="A213">IFERROR(INDEX(tblunits[unitname],SMALL(IF((tblunits[nation]=$B$23)*(tblunits[division]=#REF!)*(tblunits[squadtype]=$D$7),ROW(tblunits[unitname])-MIN(ROW(tblunits[unitname]))+1),ROWS($A$83:A213))),"")</f>
        <v/>
      </c>
    </row>
    <row r="214" spans="1:1" x14ac:dyDescent="0.35">
      <c r="A214" s="2" t="str">
        <f t="array" ref="A214">IFERROR(INDEX(tblunits[unitname],SMALL(IF((tblunits[nation]=$B$23)*(tblunits[division]=#REF!)*(tblunits[squadtype]=$D$7),ROW(tblunits[unitname])-MIN(ROW(tblunits[unitname]))+1),ROWS($A$83:A214))),"")</f>
        <v/>
      </c>
    </row>
    <row r="215" spans="1:1" x14ac:dyDescent="0.35">
      <c r="A215" s="2" t="str">
        <f t="array" ref="A215">IFERROR(INDEX(tblunits[unitname],SMALL(IF((tblunits[nation]=$B$23)*(tblunits[division]=#REF!)*(tblunits[squadtype]=$D$7),ROW(tblunits[unitname])-MIN(ROW(tblunits[unitname]))+1),ROWS($A$83:A215))),"")</f>
        <v/>
      </c>
    </row>
    <row r="216" spans="1:1" x14ac:dyDescent="0.35">
      <c r="A216" s="2" t="str">
        <f t="array" ref="A216">IFERROR(INDEX(tblunits[unitname],SMALL(IF((tblunits[nation]=$B$23)*(tblunits[division]=#REF!)*(tblunits[squadtype]=$D$7),ROW(tblunits[unitname])-MIN(ROW(tblunits[unitname]))+1),ROWS($A$83:A216))),"")</f>
        <v/>
      </c>
    </row>
    <row r="217" spans="1:1" x14ac:dyDescent="0.35">
      <c r="A217" s="2" t="str">
        <f t="array" ref="A217">IFERROR(INDEX(tblunits[unitname],SMALL(IF((tblunits[nation]=$B$23)*(tblunits[division]=#REF!)*(tblunits[squadtype]=$D$7),ROW(tblunits[unitname])-MIN(ROW(tblunits[unitname]))+1),ROWS($A$83:A217))),"")</f>
        <v/>
      </c>
    </row>
    <row r="218" spans="1:1" x14ac:dyDescent="0.35">
      <c r="A218" s="2" t="str">
        <f t="array" ref="A218">IFERROR(INDEX(tblunits[unitname],SMALL(IF((tblunits[nation]=$B$23)*(tblunits[division]=#REF!)*(tblunits[squadtype]=$D$7),ROW(tblunits[unitname])-MIN(ROW(tblunits[unitname]))+1),ROWS($A$83:A218))),"")</f>
        <v/>
      </c>
    </row>
    <row r="219" spans="1:1" x14ac:dyDescent="0.35">
      <c r="A219" s="2" t="str">
        <f t="array" ref="A219">IFERROR(INDEX(tblunits[unitname],SMALL(IF((tblunits[nation]=$B$23)*(tblunits[division]=#REF!)*(tblunits[squadtype]=$D$7),ROW(tblunits[unitname])-MIN(ROW(tblunits[unitname]))+1),ROWS($A$83:A219))),"")</f>
        <v/>
      </c>
    </row>
    <row r="220" spans="1:1" x14ac:dyDescent="0.35">
      <c r="A220" s="2" t="str">
        <f t="array" ref="A220">IFERROR(INDEX(tblunits[unitname],SMALL(IF((tblunits[nation]=$B$23)*(tblunits[division]=#REF!)*(tblunits[squadtype]=$D$7),ROW(tblunits[unitname])-MIN(ROW(tblunits[unitname]))+1),ROWS($A$83:A220))),"")</f>
        <v/>
      </c>
    </row>
    <row r="221" spans="1:1" x14ac:dyDescent="0.35">
      <c r="A221" s="2" t="str">
        <f t="array" ref="A221">IFERROR(INDEX(tblunits[unitname],SMALL(IF((tblunits[nation]=$B$23)*(tblunits[division]=#REF!)*(tblunits[squadtype]=$D$7),ROW(tblunits[unitname])-MIN(ROW(tblunits[unitname]))+1),ROWS($A$83:A221))),"")</f>
        <v/>
      </c>
    </row>
    <row r="222" spans="1:1" x14ac:dyDescent="0.35">
      <c r="A222" s="2" t="str">
        <f t="array" ref="A222">IFERROR(INDEX(tblunits[unitname],SMALL(IF((tblunits[nation]=$B$23)*(tblunits[division]=#REF!)*(tblunits[squadtype]=$D$7),ROW(tblunits[unitname])-MIN(ROW(tblunits[unitname]))+1),ROWS($A$83:A222))),"")</f>
        <v/>
      </c>
    </row>
  </sheetData>
  <mergeCells count="5">
    <mergeCell ref="H21:H25"/>
    <mergeCell ref="A26:A28"/>
    <mergeCell ref="A29:A31"/>
    <mergeCell ref="A32:A34"/>
    <mergeCell ref="A35:A37"/>
  </mergeCells>
  <conditionalFormatting sqref="J40">
    <cfRule type="expression" dxfId="335" priority="67">
      <formula>IF($J$40&lt;$A$16,FALSE,IF($J$40&lt;$A$16*$B$15,TRUE,FALSE))</formula>
    </cfRule>
    <cfRule type="cellIs" dxfId="334" priority="68" operator="greaterThan">
      <formula>$A$16*$B$15</formula>
    </cfRule>
    <cfRule type="cellIs" dxfId="333" priority="69" operator="lessThan">
      <formula>$A$16</formula>
    </cfRule>
  </conditionalFormatting>
  <conditionalFormatting sqref="E4">
    <cfRule type="expression" dxfId="332" priority="26">
      <formula>IF(D2=special_forces_1,TRUE,FALSE)</formula>
    </cfRule>
    <cfRule type="expression" dxfId="331" priority="55">
      <formula>AND(D2="special_forces_3",D4="asset_team")</formula>
    </cfRule>
    <cfRule type="expression" dxfId="330" priority="56">
      <formula>AND(D2="special_forces_2",D4="asset_team")</formula>
    </cfRule>
    <cfRule type="expression" dxfId="329" priority="66">
      <formula>IF(D2="asset_squad",TRUE,FALSE)</formula>
    </cfRule>
    <cfRule type="expression" dxfId="328" priority="2">
      <formula>IF(D2="vehicle",TRUE,FALSE)</formula>
    </cfRule>
  </conditionalFormatting>
  <conditionalFormatting sqref="E3">
    <cfRule type="expression" dxfId="327" priority="65">
      <formula>IF(D2="special_forces_1",TRUE,FALSE)</formula>
    </cfRule>
  </conditionalFormatting>
  <conditionalFormatting sqref="E9">
    <cfRule type="expression" dxfId="326" priority="51">
      <formula>AND(D7="special_forces_3",D9="asset_team")</formula>
    </cfRule>
    <cfRule type="expression" dxfId="325" priority="52">
      <formula>AND(D7="special_forces_2",D9="asset_team")</formula>
    </cfRule>
    <cfRule type="expression" dxfId="324" priority="53">
      <formula>AND(D7="special_forces_1",D9="asset_team")</formula>
    </cfRule>
    <cfRule type="expression" dxfId="323" priority="54">
      <formula>IF(D7="asset_squad",TRUE,FALSE)</formula>
    </cfRule>
  </conditionalFormatting>
  <conditionalFormatting sqref="E14">
    <cfRule type="expression" dxfId="322" priority="47">
      <formula>AND(D12="special_forces_3",D14="asset_team")</formula>
    </cfRule>
    <cfRule type="expression" dxfId="321" priority="48">
      <formula>AND(D12="special_forces_2",D14="asset_team")</formula>
    </cfRule>
    <cfRule type="expression" dxfId="320" priority="49">
      <formula>AND(D12="special_forces_1",D14="asset_team")</formula>
    </cfRule>
    <cfRule type="expression" dxfId="319" priority="50">
      <formula>IF(D12="asset_squad",TRUE,FALSE)</formula>
    </cfRule>
  </conditionalFormatting>
  <conditionalFormatting sqref="E19">
    <cfRule type="expression" dxfId="318" priority="43">
      <formula>AND(D17="special_forces_3",D19="asset_team")</formula>
    </cfRule>
    <cfRule type="expression" dxfId="317" priority="44">
      <formula>AND(D17="special_forces_2",D19="asset_team")</formula>
    </cfRule>
    <cfRule type="expression" dxfId="316" priority="45">
      <formula>AND(D17="special_forces_1",D19="asset_team")</formula>
    </cfRule>
    <cfRule type="expression" dxfId="315" priority="46">
      <formula>IF(D17="asset_squad",TRUE,FALSE)</formula>
    </cfRule>
  </conditionalFormatting>
  <conditionalFormatting sqref="E24">
    <cfRule type="expression" dxfId="314" priority="39">
      <formula>AND(D22="special_forces_3",D24="asset_team")</formula>
    </cfRule>
    <cfRule type="expression" dxfId="313" priority="40">
      <formula>AND(D22="special_forces_2",D24="asset_team")</formula>
    </cfRule>
    <cfRule type="expression" dxfId="312" priority="41">
      <formula>AND(D22="special_forces_1",D24="asset_team")</formula>
    </cfRule>
    <cfRule type="expression" dxfId="311" priority="42">
      <formula>IF(D22="asset_squad",TRUE,FALSE)</formula>
    </cfRule>
  </conditionalFormatting>
  <conditionalFormatting sqref="E29">
    <cfRule type="expression" dxfId="310" priority="35">
      <formula>AND(D27="special_forces_3",D29="asset_team")</formula>
    </cfRule>
    <cfRule type="expression" dxfId="309" priority="36">
      <formula>AND(D27="special_forces_2",D29="asset_team")</formula>
    </cfRule>
    <cfRule type="expression" dxfId="308" priority="37">
      <formula>AND(D27="special_forces_1",D29="asset_team")</formula>
    </cfRule>
    <cfRule type="expression" dxfId="307" priority="38">
      <formula>IF(D27="asset_squad",TRUE,FALSE)</formula>
    </cfRule>
  </conditionalFormatting>
  <conditionalFormatting sqref="E34">
    <cfRule type="expression" dxfId="306" priority="31">
      <formula>AND(D32="special_forces_3",D34="asset_team")</formula>
    </cfRule>
    <cfRule type="expression" dxfId="305" priority="32">
      <formula>AND(D32="special_forces_2",D34="asset_team")</formula>
    </cfRule>
    <cfRule type="expression" dxfId="304" priority="33">
      <formula>AND(D32="special_forces_1",D34="asset_team")</formula>
    </cfRule>
    <cfRule type="expression" dxfId="303" priority="34">
      <formula>IF(D32="asset_squad",TRUE,FALSE)</formula>
    </cfRule>
  </conditionalFormatting>
  <conditionalFormatting sqref="E39">
    <cfRule type="expression" dxfId="302" priority="27">
      <formula>AND(D37="special_forces_3",D39="asset_team")</formula>
    </cfRule>
    <cfRule type="expression" dxfId="301" priority="28">
      <formula>AND(D37="special_forces_2",D39="asset_team")</formula>
    </cfRule>
    <cfRule type="expression" dxfId="300" priority="29">
      <formula>AND(D37="special_forces_1",D39="asset_team")</formula>
    </cfRule>
    <cfRule type="expression" dxfId="299" priority="30">
      <formula>IF(D37="asset_squad",TRUE,FALSE)</formula>
    </cfRule>
  </conditionalFormatting>
  <conditionalFormatting sqref="E3:E4">
    <cfRule type="expression" dxfId="298" priority="64">
      <formula>AND(D1="special_forces_1",D3="asset_team")</formula>
    </cfRule>
  </conditionalFormatting>
  <conditionalFormatting sqref="E8">
    <cfRule type="expression" dxfId="297" priority="25">
      <formula>IF(D7="special_forces_1",TRUE,FALSE)</formula>
    </cfRule>
  </conditionalFormatting>
  <conditionalFormatting sqref="E8">
    <cfRule type="expression" dxfId="296" priority="24">
      <formula>AND(D6="special_forces_1",D8="asset_team")</formula>
    </cfRule>
  </conditionalFormatting>
  <conditionalFormatting sqref="E13">
    <cfRule type="expression" dxfId="295" priority="23">
      <formula>IF(D12="special_forces_1",TRUE,FALSE)</formula>
    </cfRule>
  </conditionalFormatting>
  <conditionalFormatting sqref="E13">
    <cfRule type="expression" dxfId="294" priority="22">
      <formula>AND(D11="special_forces_1",D13="asset_team")</formula>
    </cfRule>
  </conditionalFormatting>
  <conditionalFormatting sqref="E18">
    <cfRule type="expression" dxfId="293" priority="21">
      <formula>IF(D17="special_forces_1",TRUE,FALSE)</formula>
    </cfRule>
  </conditionalFormatting>
  <conditionalFormatting sqref="E18">
    <cfRule type="expression" dxfId="292" priority="20">
      <formula>AND(D16="special_forces_1",D18="asset_team")</formula>
    </cfRule>
  </conditionalFormatting>
  <conditionalFormatting sqref="E23">
    <cfRule type="expression" dxfId="291" priority="19">
      <formula>IF(D22="special_forces_1",TRUE,FALSE)</formula>
    </cfRule>
  </conditionalFormatting>
  <conditionalFormatting sqref="E23">
    <cfRule type="expression" dxfId="290" priority="18">
      <formula>AND(D21="special_forces_1",D23="asset_team")</formula>
    </cfRule>
  </conditionalFormatting>
  <conditionalFormatting sqref="E28">
    <cfRule type="expression" dxfId="289" priority="17">
      <formula>IF(D27="special_forces_1",TRUE,FALSE)</formula>
    </cfRule>
  </conditionalFormatting>
  <conditionalFormatting sqref="E28">
    <cfRule type="expression" dxfId="288" priority="16">
      <formula>AND(D26="special_forces_1",D28="asset_team")</formula>
    </cfRule>
  </conditionalFormatting>
  <conditionalFormatting sqref="E33">
    <cfRule type="expression" dxfId="287" priority="15">
      <formula>IF(D32="special_forces_1",TRUE,FALSE)</formula>
    </cfRule>
  </conditionalFormatting>
  <conditionalFormatting sqref="E33">
    <cfRule type="expression" dxfId="286" priority="14">
      <formula>AND(D31="special_forces_1",D33="asset_team")</formula>
    </cfRule>
  </conditionalFormatting>
  <conditionalFormatting sqref="E38">
    <cfRule type="expression" dxfId="285" priority="13">
      <formula>IF(D37="special_forces_1",TRUE,FALSE)</formula>
    </cfRule>
  </conditionalFormatting>
  <conditionalFormatting sqref="E38">
    <cfRule type="expression" dxfId="284" priority="12">
      <formula>AND(D36="special_forces_1",D38="asset_team")</formula>
    </cfRule>
  </conditionalFormatting>
  <conditionalFormatting sqref="E5">
    <cfRule type="expression" dxfId="283" priority="11">
      <formula>AND(LEN(TRIM(E2))&gt;0, TRIM(E2)&lt;&gt;"0")</formula>
    </cfRule>
    <cfRule type="expression" dxfId="282" priority="1">
      <formula>IF(D2="vehicle",TRUE,FALSE)</formula>
    </cfRule>
  </conditionalFormatting>
  <conditionalFormatting sqref="E10">
    <cfRule type="expression" dxfId="281" priority="9">
      <formula>AND(LEN(TRIM(E7))&gt;0, TRIM(E7)&lt;&gt;"0")</formula>
    </cfRule>
  </conditionalFormatting>
  <conditionalFormatting sqref="E15">
    <cfRule type="expression" dxfId="280" priority="8">
      <formula>AND(LEN(TRIM(E12))&gt;0, TRIM(E12)&lt;&gt;"0")</formula>
    </cfRule>
  </conditionalFormatting>
  <conditionalFormatting sqref="E20">
    <cfRule type="expression" dxfId="279" priority="7">
      <formula>AND(LEN(TRIM(E17))&gt;0, TRIM(E17)&lt;&gt;"0")</formula>
    </cfRule>
  </conditionalFormatting>
  <conditionalFormatting sqref="E25">
    <cfRule type="expression" dxfId="278" priority="6">
      <formula>AND(LEN(TRIM(E22))&gt;0, TRIM(E22)&lt;&gt;"0")</formula>
    </cfRule>
  </conditionalFormatting>
  <conditionalFormatting sqref="E30">
    <cfRule type="expression" dxfId="277" priority="5">
      <formula>AND(LEN(TRIM(E27))&gt;0, TRIM(E27)&lt;&gt;"0")</formula>
    </cfRule>
  </conditionalFormatting>
  <conditionalFormatting sqref="E35">
    <cfRule type="expression" dxfId="276" priority="4">
      <formula>AND(LEN(TRIM(E32))&gt;0, TRIM(E32)&lt;&gt;"0")</formula>
    </cfRule>
  </conditionalFormatting>
  <conditionalFormatting sqref="E40">
    <cfRule type="expression" dxfId="275" priority="3">
      <formula>AND(LEN(TRIM(E37))&gt;0, TRIM(E37)&lt;&gt;"0")</formula>
    </cfRule>
  </conditionalFormatting>
  <dataValidations count="2">
    <dataValidation type="list" allowBlank="1" showInputMessage="1" showErrorMessage="1" sqref="D22 D27 D32 D7 D12 D17 D37">
      <formula1>"standard_squad,Asset_Squad,feildgun_squad,special_forces_1"</formula1>
    </dataValidation>
    <dataValidation type="list" allowBlank="1" showInputMessage="1" showErrorMessage="1" sqref="D2">
      <formula1>"standard_squad,Asset_Squad,feildgun_squad,vehicle,special_forces_1"</formula1>
    </dataValidation>
  </dataValidations>
  <pageMargins left="3.937007874015748E-2" right="0" top="3.937007874015748E-2" bottom="0" header="0" footer="0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clearsquad3">
                <anchor moveWithCells="1" sizeWithCells="1">
                  <from>
                    <xdr:col>2</xdr:col>
                    <xdr:colOff>635000</xdr:colOff>
                    <xdr:row>19</xdr:row>
                    <xdr:rowOff>158750</xdr:rowOff>
                  </from>
                  <to>
                    <xdr:col>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clearvehicles">
                <anchor moveWithCells="1" sizeWithCells="1">
                  <from>
                    <xdr:col>8</xdr:col>
                    <xdr:colOff>0</xdr:colOff>
                    <xdr:row>18</xdr:row>
                    <xdr:rowOff>165100</xdr:rowOff>
                  </from>
                  <to>
                    <xdr:col>9</xdr:col>
                    <xdr:colOff>0</xdr:colOff>
                    <xdr:row>19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ClearAllSquadsAndVehicles">
                <anchor moveWithCells="1" sizeWithCells="1">
                  <from>
                    <xdr:col>0</xdr:col>
                    <xdr:colOff>12700</xdr:colOff>
                    <xdr:row>22</xdr:row>
                    <xdr:rowOff>12700</xdr:rowOff>
                  </from>
                  <to>
                    <xdr:col>0</xdr:col>
                    <xdr:colOff>1873250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validatearmyandsendtosetup">
                <anchor moveWithCells="1" sizeWithCells="1">
                  <from>
                    <xdr:col>0</xdr:col>
                    <xdr:colOff>0</xdr:colOff>
                    <xdr:row>18</xdr:row>
                    <xdr:rowOff>177800</xdr:rowOff>
                  </from>
                  <to>
                    <xdr:col>0</xdr:col>
                    <xdr:colOff>1873250</xdr:colOff>
                    <xdr:row>21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cleardefences">
                <anchor moveWithCells="1" siz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clearsquadBGC">
                <anchor moveWithCells="1" sizeWithCells="1">
                  <from>
                    <xdr:col>2</xdr:col>
                    <xdr:colOff>596900</xdr:colOff>
                    <xdr:row>4</xdr:row>
                    <xdr:rowOff>165100</xdr:rowOff>
                  </from>
                  <to>
                    <xdr:col>3</xdr:col>
                    <xdr:colOff>577850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clearsquad7">
                <anchor moveWithCells="1" sizeWithCells="1">
                  <from>
                    <xdr:col>2</xdr:col>
                    <xdr:colOff>603250</xdr:colOff>
                    <xdr:row>39</xdr:row>
                    <xdr:rowOff>177800</xdr:rowOff>
                  </from>
                  <to>
                    <xdr:col>3</xdr:col>
                    <xdr:colOff>584200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clearsquad1">
                <anchor moveWithCells="1" sizeWithCells="1">
                  <from>
                    <xdr:col>2</xdr:col>
                    <xdr:colOff>565150</xdr:colOff>
                    <xdr:row>9</xdr:row>
                    <xdr:rowOff>177800</xdr:rowOff>
                  </from>
                  <to>
                    <xdr:col>3</xdr:col>
                    <xdr:colOff>558800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clearsquad2">
                <anchor moveWithCells="1" sizeWithCells="1">
                  <from>
                    <xdr:col>2</xdr:col>
                    <xdr:colOff>628650</xdr:colOff>
                    <xdr:row>14</xdr:row>
                    <xdr:rowOff>177800</xdr:rowOff>
                  </from>
                  <to>
                    <xdr:col>3</xdr:col>
                    <xdr:colOff>590550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clearsquad4">
                <anchor moveWithCells="1" sizeWithCells="1">
                  <from>
                    <xdr:col>2</xdr:col>
                    <xdr:colOff>603250</xdr:colOff>
                    <xdr:row>24</xdr:row>
                    <xdr:rowOff>190500</xdr:rowOff>
                  </from>
                  <to>
                    <xdr:col>3</xdr:col>
                    <xdr:colOff>577850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clearsquad5">
                <anchor moveWithCells="1" sizeWithCells="1">
                  <from>
                    <xdr:col>2</xdr:col>
                    <xdr:colOff>590550</xdr:colOff>
                    <xdr:row>30</xdr:row>
                    <xdr:rowOff>0</xdr:rowOff>
                  </from>
                  <to>
                    <xdr:col>3</xdr:col>
                    <xdr:colOff>558800</xdr:colOff>
                    <xdr:row>30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clearsquad6">
                <anchor moveWithCells="1" sizeWithCells="1">
                  <from>
                    <xdr:col>2</xdr:col>
                    <xdr:colOff>615950</xdr:colOff>
                    <xdr:row>35</xdr:row>
                    <xdr:rowOff>0</xdr:rowOff>
                  </from>
                  <to>
                    <xdr:col>3</xdr:col>
                    <xdr:colOff>590550</xdr:colOff>
                    <xdr:row>35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'divs nats data base'!$I$2:$I$3</xm:f>
          </x14:formula1>
          <xm:sqref>D14</xm:sqref>
        </x14:dataValidation>
        <x14:dataValidation type="list" allowBlank="1" showInputMessage="1" showErrorMessage="1">
          <x14:formula1>
            <xm:f>'divs nats data base'!$I$2:$I$3</xm:f>
          </x14:formula1>
          <xm:sqref>D19</xm:sqref>
        </x14:dataValidation>
        <x14:dataValidation type="list" allowBlank="1" showInputMessage="1" showErrorMessage="1">
          <x14:formula1>
            <xm:f>'divs nats data base'!$I$2:$I$3</xm:f>
          </x14:formula1>
          <xm:sqref>D24</xm:sqref>
        </x14:dataValidation>
        <x14:dataValidation type="list" allowBlank="1" showInputMessage="1" showErrorMessage="1">
          <x14:formula1>
            <xm:f>'divs nats data base'!$I$2:$I$3</xm:f>
          </x14:formula1>
          <xm:sqref>D29</xm:sqref>
        </x14:dataValidation>
        <x14:dataValidation type="list" allowBlank="1" showInputMessage="1" showErrorMessage="1">
          <x14:formula1>
            <xm:f>'divs nats data base'!$I$2:$I$3</xm:f>
          </x14:formula1>
          <xm:sqref>D34</xm:sqref>
        </x14:dataValidation>
        <x14:dataValidation type="list" allowBlank="1" showInputMessage="1" showErrorMessage="1">
          <x14:formula1>
            <xm:f>'divs nats data base'!$I$2:$I$3</xm:f>
          </x14:formula1>
          <xm:sqref>D39</xm:sqref>
        </x14:dataValidation>
        <x14:dataValidation type="list" allowBlank="1" showInputMessage="1" showErrorMessage="1">
          <x14:formula1>
            <xm:f>'divs nats data base'!$I$2:$I$3</xm:f>
          </x14:formula1>
          <xm:sqref>D9</xm:sqref>
        </x14:dataValidation>
        <x14:dataValidation type="list" allowBlank="1" showInputMessage="1" showErrorMessage="1">
          <x14:formula1>
            <xm:f>INDIRECT(SUBSTITUTE(setup!$B$5 &amp; setup!$B$7 &amp; C5," ",""))</xm:f>
          </x14:formula1>
          <xm:sqref>E5 E15 E10 E20 E25 E30 E35 E40</xm:sqref>
        </x14:dataValidation>
        <x14:dataValidation type="list" allowBlank="1" showInputMessage="1" showErrorMessage="1">
          <x14:formula1>
            <xm:f>'divs nats data base'!$I$2:$I$3</xm:f>
          </x14:formula1>
          <xm:sqref>D4</xm:sqref>
        </x14:dataValidation>
        <x14:dataValidation type="list" allowBlank="1" showInputMessage="1" showErrorMessage="1">
          <x14:formula1>
            <xm:f>INDIRECT(SUBSTITUTE(setup!$B$5 &amp; setup!$B$7 &amp; I1," ",""))</xm:f>
          </x14:formula1>
          <xm:sqref>I2</xm:sqref>
        </x14:dataValidation>
        <x14:dataValidation type="list" allowBlank="1" showInputMessage="1" showErrorMessage="1">
          <x14:formula1>
            <xm:f>INDIRECT(SUBSTITUTE(setup!$B$5 &amp; setup!$B$7 &amp; $I$1," ",""))</xm:f>
          </x14:formula1>
          <xm:sqref>I3:I16</xm:sqref>
        </x14:dataValidation>
        <x14:dataValidation type="list" allowBlank="1" showInputMessage="1" showErrorMessage="1">
          <x14:formula1>
            <xm:f>'unit calc'!$L$39:$L$41</xm:f>
          </x14:formula1>
          <xm:sqref>A13</xm:sqref>
        </x14:dataValidation>
        <x14:dataValidation type="list" allowBlank="1" showInputMessage="1" showErrorMessage="1">
          <x14:formula1>
            <xm:f>'unit calc'!$A$124:$A$125</xm:f>
          </x14:formula1>
          <xm:sqref>E3 E28 E33 E8 E13 E18 E23 E38</xm:sqref>
        </x14:dataValidation>
        <x14:dataValidation type="list" allowBlank="1" showInputMessage="1" showErrorMessage="1">
          <x14:formula1>
            <xm:f>'SF1'!$F$6:$F$7</xm:f>
          </x14:formula1>
          <xm:sqref>E42</xm:sqref>
        </x14:dataValidation>
        <x14:dataValidation type="list" allowBlank="1" showInputMessage="1" showErrorMessage="1">
          <x14:formula1>
            <xm:f>INDIRECT(SUBSTITUTE(setup!$B$5 &amp; setup!$B$7 &amp; D2," ",""))</xm:f>
          </x14:formula1>
          <xm:sqref>E43 E7 E12 E17 E22 E27 E32 E37 E2 E24 E4 E9 E29 E34 E14 E19 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N222"/>
  <sheetViews>
    <sheetView zoomScale="60" zoomScaleNormal="60" workbookViewId="0">
      <selection activeCell="D7" sqref="D7"/>
    </sheetView>
  </sheetViews>
  <sheetFormatPr defaultRowHeight="14.5" x14ac:dyDescent="0.35"/>
  <cols>
    <col min="1" max="1" width="27.08984375" customWidth="1"/>
    <col min="2" max="2" width="2.1796875" customWidth="1"/>
    <col min="3" max="3" width="4" customWidth="1"/>
    <col min="4" max="4" width="23" bestFit="1" customWidth="1"/>
    <col min="5" max="5" width="23.1796875" bestFit="1" customWidth="1"/>
    <col min="6" max="6" width="9.7265625" bestFit="1" customWidth="1"/>
    <col min="7" max="7" width="51.453125" customWidth="1"/>
    <col min="8" max="8" width="3" customWidth="1"/>
    <col min="9" max="9" width="19.90625" customWidth="1"/>
    <col min="10" max="10" width="8.453125" customWidth="1"/>
    <col min="11" max="11" width="2.453125" customWidth="1"/>
    <col min="12" max="12" width="10.54296875" customWidth="1"/>
  </cols>
  <sheetData>
    <row r="1" spans="1:12" ht="15" thickBot="1" x14ac:dyDescent="0.4">
      <c r="A1">
        <f>setup!B2</f>
        <v>0</v>
      </c>
      <c r="D1" s="1" t="s">
        <v>575</v>
      </c>
      <c r="E1" s="1" t="s">
        <v>0</v>
      </c>
      <c r="F1" s="18"/>
      <c r="G1" s="1"/>
      <c r="H1" s="1"/>
    </row>
    <row r="2" spans="1:12" ht="15" thickBot="1" x14ac:dyDescent="0.4">
      <c r="A2">
        <f>setup!B3</f>
        <v>0</v>
      </c>
      <c r="C2" s="59"/>
      <c r="D2" s="292"/>
      <c r="E2" s="17">
        <f>IF(ISBLANK(D2),0,VLOOKUP(D2,crewedtanks[#All],setup!$C$9+1,FALSE))</f>
        <v>0</v>
      </c>
      <c r="F2" s="206"/>
      <c r="G2" s="59"/>
    </row>
    <row r="3" spans="1:12" x14ac:dyDescent="0.35">
      <c r="A3" t="str">
        <f>setup!B5</f>
        <v>USA</v>
      </c>
      <c r="C3" s="59"/>
      <c r="E3" s="17"/>
      <c r="F3" s="206"/>
      <c r="G3" s="59"/>
    </row>
    <row r="4" spans="1:12" ht="15" thickBot="1" x14ac:dyDescent="0.4">
      <c r="A4" t="str">
        <f>setup!B7</f>
        <v>infantry</v>
      </c>
      <c r="C4" s="59"/>
      <c r="D4" s="1" t="s">
        <v>176</v>
      </c>
      <c r="E4" s="17"/>
      <c r="F4" s="206"/>
      <c r="G4" s="59"/>
    </row>
    <row r="5" spans="1:12" ht="15" thickBot="1" x14ac:dyDescent="0.4">
      <c r="A5" t="str">
        <f>setup!B9</f>
        <v>trained</v>
      </c>
      <c r="D5" s="68"/>
      <c r="E5" s="17">
        <f>IF(ISBLANK(D5),0,VLOOKUP(D5,crewedtanks[#All],setup!$C$9+1,FALSE))</f>
        <v>0</v>
      </c>
    </row>
    <row r="6" spans="1:12" ht="15" thickBot="1" x14ac:dyDescent="0.4">
      <c r="A6" s="1" t="s">
        <v>391</v>
      </c>
      <c r="D6" s="68"/>
      <c r="E6" s="17">
        <f>IF(ISBLANK(D6),0,VLOOKUP(D6,crewedtanks[#All],setup!$C$9+1,FALSE))</f>
        <v>0</v>
      </c>
    </row>
    <row r="7" spans="1:12" ht="15" thickBot="1" x14ac:dyDescent="0.4">
      <c r="A7" s="139"/>
      <c r="C7" s="13"/>
      <c r="D7" s="68"/>
      <c r="E7" s="17">
        <f>IF(ISBLANK(D7),0,VLOOKUP(D7,crewedtanks[#All],setup!$C$9+1,FALSE))</f>
        <v>0</v>
      </c>
    </row>
    <row r="8" spans="1:12" ht="15" thickBot="1" x14ac:dyDescent="0.4">
      <c r="A8" s="59"/>
      <c r="C8" s="60"/>
      <c r="D8" s="68"/>
      <c r="E8" s="17">
        <f>IF(ISBLANK(D8),0,VLOOKUP(D8,crewedtanks[#All],setup!$C$9+1,FALSE))</f>
        <v>0</v>
      </c>
    </row>
    <row r="9" spans="1:12" ht="15" thickBot="1" x14ac:dyDescent="0.4">
      <c r="A9" s="1" t="s">
        <v>112</v>
      </c>
      <c r="C9" s="2"/>
      <c r="D9" s="68"/>
      <c r="E9" s="17">
        <f>IF(ISBLANK(D9),0,VLOOKUP(D9,crewedtanks[#All],setup!$C$9+1,FALSE))</f>
        <v>0</v>
      </c>
    </row>
    <row r="10" spans="1:12" ht="15" thickBot="1" x14ac:dyDescent="0.4">
      <c r="A10" s="139"/>
      <c r="C10" s="2"/>
      <c r="D10" s="68"/>
      <c r="E10" s="17">
        <f>IF(ISBLANK(D10),0,VLOOKUP(D10,crewedtanks[#All],setup!$C$9+1,FALSE))</f>
        <v>0</v>
      </c>
    </row>
    <row r="11" spans="1:12" ht="15" thickBot="1" x14ac:dyDescent="0.4">
      <c r="A11" s="1"/>
      <c r="C11" s="63"/>
      <c r="D11" s="68"/>
      <c r="E11" s="17">
        <f>IF(ISBLANK(D11),0,VLOOKUP(D11,crewedtanks[#All],setup!$C$9+1,FALSE))</f>
        <v>0</v>
      </c>
    </row>
    <row r="12" spans="1:12" ht="15" thickBot="1" x14ac:dyDescent="0.4">
      <c r="A12" s="18" t="s">
        <v>108</v>
      </c>
      <c r="B12" t="str">
        <f>IF(A13="attack",1.25,"1")</f>
        <v>1</v>
      </c>
      <c r="C12" s="2"/>
      <c r="D12" s="68"/>
      <c r="E12" s="17">
        <f>IF(ISBLANK(D12),0,VLOOKUP(D12,crewedtanks[#All],setup!$C$9+1,FALSE))</f>
        <v>0</v>
      </c>
      <c r="L12" t="s">
        <v>74</v>
      </c>
    </row>
    <row r="13" spans="1:12" ht="15" thickBot="1" x14ac:dyDescent="0.4">
      <c r="A13" s="66" t="s">
        <v>19</v>
      </c>
      <c r="C13" s="63"/>
      <c r="D13" s="68"/>
      <c r="E13" s="17">
        <f>IF(ISBLANK(D13),0,VLOOKUP(D13,crewedtanks[#All],setup!$C$9+1,FALSE))</f>
        <v>0</v>
      </c>
    </row>
    <row r="14" spans="1:12" ht="15" thickBot="1" x14ac:dyDescent="0.4">
      <c r="C14" s="64"/>
      <c r="D14" s="68"/>
      <c r="E14" s="17">
        <f>IF(ISBLANK(D14),0,VLOOKUP(D14,crewedtanks[#All],setup!$C$9+1,FALSE))</f>
        <v>0</v>
      </c>
    </row>
    <row r="15" spans="1:12" ht="15" thickBot="1" x14ac:dyDescent="0.4">
      <c r="A15" s="1" t="s">
        <v>109</v>
      </c>
      <c r="B15">
        <v>1.0109999999999999</v>
      </c>
      <c r="C15" s="64"/>
      <c r="D15" s="68"/>
      <c r="E15" s="17">
        <f>IF(ISBLANK(D15),0,VLOOKUP(D15,crewedtanks[#All],setup!$C$9+1,FALSE))</f>
        <v>0</v>
      </c>
    </row>
    <row r="16" spans="1:12" ht="15" thickBot="1" x14ac:dyDescent="0.4">
      <c r="A16" s="8">
        <f>SUM(A10*B12)</f>
        <v>0</v>
      </c>
      <c r="C16" s="64"/>
      <c r="D16" s="68"/>
      <c r="E16" s="17">
        <f>IF(ISBLANK(D16),0,VLOOKUP(D16,crewedtanks[#All],setup!$C$9+1,FALSE))</f>
        <v>0</v>
      </c>
    </row>
    <row r="17" spans="1:14" ht="15" thickBot="1" x14ac:dyDescent="0.4">
      <c r="C17" s="64"/>
      <c r="D17" s="68"/>
      <c r="E17" s="17">
        <f>IF(ISBLANK(D17),0,VLOOKUP(D17,crewedtanks[#All],setup!$C$9+1,FALSE))</f>
        <v>0</v>
      </c>
    </row>
    <row r="18" spans="1:14" ht="15" thickBot="1" x14ac:dyDescent="0.4">
      <c r="A18" s="1" t="s">
        <v>107</v>
      </c>
      <c r="C18" s="64"/>
      <c r="D18" s="68"/>
      <c r="E18" s="17">
        <f>IF(ISBLANK(D18),0,VLOOKUP(D18,crewedtanks[#All],setup!$C$9+1,FALSE))</f>
        <v>0</v>
      </c>
    </row>
    <row r="19" spans="1:14" ht="15" thickBot="1" x14ac:dyDescent="0.4">
      <c r="A19" t="str">
        <f>A1&amp;"."&amp;A2&amp;"."&amp;A3&amp;"."&amp;A4&amp;"."&amp;A5&amp;"."&amp;A7&amp;"."&amp;A10&amp;"."&amp;A13&amp;"."&amp;setup!B28&amp;""</f>
        <v>0.0.USA.infantry.trained...neutral.7.1.0</v>
      </c>
      <c r="B19">
        <v>1</v>
      </c>
      <c r="C19" s="64"/>
      <c r="D19" s="68"/>
      <c r="E19" s="17">
        <f>IF(ISBLANK(D19),0,VLOOKUP(D19,crewedtanks[#All],setup!$C$9+1,FALSE))</f>
        <v>0</v>
      </c>
    </row>
    <row r="20" spans="1:14" x14ac:dyDescent="0.35">
      <c r="C20" s="59"/>
    </row>
    <row r="21" spans="1:14" x14ac:dyDescent="0.35">
      <c r="B21" s="59"/>
      <c r="C21" s="59"/>
      <c r="D21" t="s">
        <v>105</v>
      </c>
      <c r="E21" s="151">
        <f>SUM(E5:E19)</f>
        <v>0</v>
      </c>
    </row>
    <row r="22" spans="1:14" x14ac:dyDescent="0.35">
      <c r="A22" s="59"/>
      <c r="B22" s="67"/>
      <c r="C22" s="59"/>
      <c r="D22" s="64"/>
    </row>
    <row r="23" spans="1:14" ht="18.5" x14ac:dyDescent="0.45">
      <c r="A23" s="202"/>
      <c r="B23" s="59"/>
      <c r="C23" s="298" t="s">
        <v>241</v>
      </c>
    </row>
    <row r="24" spans="1:14" x14ac:dyDescent="0.35">
      <c r="A24" s="67"/>
      <c r="B24" s="59"/>
      <c r="C24" s="299"/>
    </row>
    <row r="25" spans="1:14" x14ac:dyDescent="0.35">
      <c r="A25" s="67"/>
      <c r="C25" s="299"/>
    </row>
    <row r="26" spans="1:14" x14ac:dyDescent="0.35">
      <c r="A26" s="300" t="s">
        <v>192</v>
      </c>
      <c r="C26" s="299"/>
    </row>
    <row r="27" spans="1:14" ht="15" thickBot="1" x14ac:dyDescent="0.4">
      <c r="A27" s="300"/>
      <c r="C27" s="299"/>
      <c r="D27" s="1" t="s">
        <v>240</v>
      </c>
    </row>
    <row r="28" spans="1:14" ht="15" thickBot="1" x14ac:dyDescent="0.4">
      <c r="A28" s="300"/>
      <c r="C28" s="139"/>
      <c r="D28" s="143" t="s">
        <v>243</v>
      </c>
      <c r="E28">
        <f>C28*15</f>
        <v>0</v>
      </c>
      <c r="N28" t="s">
        <v>74</v>
      </c>
    </row>
    <row r="29" spans="1:14" ht="15" thickBot="1" x14ac:dyDescent="0.4">
      <c r="A29" s="301" t="s">
        <v>193</v>
      </c>
      <c r="C29" s="139"/>
      <c r="D29" s="8" t="s">
        <v>244</v>
      </c>
      <c r="E29">
        <f>C29*10</f>
        <v>0</v>
      </c>
    </row>
    <row r="30" spans="1:14" ht="15" customHeight="1" thickBot="1" x14ac:dyDescent="0.4">
      <c r="A30" s="301"/>
      <c r="C30" s="139"/>
      <c r="D30" s="14" t="s">
        <v>245</v>
      </c>
      <c r="E30">
        <f>C30*5</f>
        <v>0</v>
      </c>
    </row>
    <row r="31" spans="1:14" ht="15" customHeight="1" thickBot="1" x14ac:dyDescent="0.4">
      <c r="A31" s="301"/>
      <c r="C31" s="139"/>
      <c r="D31" s="8" t="s">
        <v>246</v>
      </c>
      <c r="E31">
        <f>C31*50</f>
        <v>0</v>
      </c>
    </row>
    <row r="32" spans="1:14" ht="15" customHeight="1" x14ac:dyDescent="0.35">
      <c r="A32" s="302" t="s">
        <v>194</v>
      </c>
    </row>
    <row r="33" spans="1:5" ht="14.5" customHeight="1" x14ac:dyDescent="0.35">
      <c r="A33" s="302"/>
      <c r="D33" t="s">
        <v>242</v>
      </c>
      <c r="E33">
        <f>SUM(E28:E31)</f>
        <v>0</v>
      </c>
    </row>
    <row r="34" spans="1:5" ht="14.5" customHeight="1" x14ac:dyDescent="0.35">
      <c r="A34" s="302"/>
    </row>
    <row r="35" spans="1:5" ht="15" customHeight="1" thickBot="1" x14ac:dyDescent="0.4">
      <c r="A35" s="303" t="s">
        <v>263</v>
      </c>
    </row>
    <row r="36" spans="1:5" ht="15" customHeight="1" thickBot="1" x14ac:dyDescent="0.4">
      <c r="A36" s="303"/>
      <c r="D36" s="13" t="s">
        <v>10</v>
      </c>
      <c r="E36" s="71">
        <f>SUM(E2+E21+E33)</f>
        <v>0</v>
      </c>
    </row>
    <row r="37" spans="1:5" ht="15" customHeight="1" thickBot="1" x14ac:dyDescent="0.4">
      <c r="A37" s="303"/>
      <c r="B37" s="64"/>
      <c r="D37" t="s">
        <v>29</v>
      </c>
      <c r="E37" s="71">
        <f>(A16-E36)</f>
        <v>0</v>
      </c>
    </row>
    <row r="38" spans="1:5" ht="14.5" customHeight="1" x14ac:dyDescent="0.35">
      <c r="B38" s="67"/>
    </row>
    <row r="39" spans="1:5" ht="17" customHeight="1" x14ac:dyDescent="0.35">
      <c r="B39" s="59"/>
      <c r="C39" t="str">
        <f>A19</f>
        <v>0.0.USA.infantry.trained...neutral.7.1.0</v>
      </c>
    </row>
    <row r="40" spans="1:5" ht="15" customHeight="1" x14ac:dyDescent="0.35">
      <c r="B40" s="59"/>
    </row>
    <row r="41" spans="1:5" ht="15" customHeight="1" x14ac:dyDescent="0.35">
      <c r="A41" s="67"/>
      <c r="B41" s="59"/>
    </row>
    <row r="42" spans="1:5" ht="15.5" customHeight="1" x14ac:dyDescent="0.35">
      <c r="A42" s="67"/>
    </row>
    <row r="43" spans="1:5" x14ac:dyDescent="0.35">
      <c r="A43" s="59"/>
    </row>
    <row r="44" spans="1:5" x14ac:dyDescent="0.35">
      <c r="A44" s="67"/>
    </row>
    <row r="45" spans="1:5" x14ac:dyDescent="0.35">
      <c r="A45" s="67"/>
    </row>
    <row r="46" spans="1:5" x14ac:dyDescent="0.35">
      <c r="A46" s="59"/>
    </row>
    <row r="47" spans="1:5" x14ac:dyDescent="0.35">
      <c r="A47" s="67"/>
    </row>
    <row r="48" spans="1:5" x14ac:dyDescent="0.35">
      <c r="A48" s="67"/>
    </row>
    <row r="72" spans="1:2" x14ac:dyDescent="0.35">
      <c r="B72" s="13"/>
    </row>
    <row r="73" spans="1:2" x14ac:dyDescent="0.35">
      <c r="B73" s="59"/>
    </row>
    <row r="74" spans="1:2" x14ac:dyDescent="0.35">
      <c r="B74" s="59"/>
    </row>
    <row r="75" spans="1:2" x14ac:dyDescent="0.35">
      <c r="B75" s="60"/>
    </row>
    <row r="76" spans="1:2" x14ac:dyDescent="0.35">
      <c r="A76" s="59"/>
      <c r="B76" s="61"/>
    </row>
    <row r="77" spans="1:2" x14ac:dyDescent="0.35">
      <c r="A77" s="59"/>
      <c r="B77" s="63"/>
    </row>
    <row r="78" spans="1:2" x14ac:dyDescent="0.35">
      <c r="A78" s="60"/>
      <c r="B78" s="63"/>
    </row>
    <row r="79" spans="1:2" x14ac:dyDescent="0.35">
      <c r="A79" s="63"/>
      <c r="B79" s="61"/>
    </row>
    <row r="80" spans="1:2" x14ac:dyDescent="0.35">
      <c r="A80" s="63"/>
      <c r="B80" s="63"/>
    </row>
    <row r="81" spans="1:2" x14ac:dyDescent="0.35">
      <c r="A81" s="63"/>
      <c r="B81" s="2"/>
    </row>
    <row r="82" spans="1:2" x14ac:dyDescent="0.35">
      <c r="A82" s="63"/>
      <c r="B82" s="64"/>
    </row>
    <row r="83" spans="1:2" x14ac:dyDescent="0.35">
      <c r="A83" s="2" t="str">
        <f t="array" ref="A83">IFERROR(INDEX(tblunits[unitname],SMALL(IF((tblunits[nation]=$B$23)*(tblunits[division]=#REF!)*(tblunits[squadtype]=#REF!),ROW(tblunits[unitname])-MIN(ROW(tblunits[unitname]))+1),ROWS($A$83:A83))),"")</f>
        <v/>
      </c>
      <c r="B83" s="64"/>
    </row>
    <row r="84" spans="1:2" x14ac:dyDescent="0.35">
      <c r="A84" s="2" t="str">
        <f t="array" ref="A84">IFERROR(INDEX(tblunits[unitname],SMALL(IF((tblunits[nation]=$B$23)*(tblunits[division]=#REF!)*(tblunits[squadtype]=#REF!),ROW(tblunits[unitname])-MIN(ROW(tblunits[unitname]))+1),ROWS($A$83:A84))),"")</f>
        <v/>
      </c>
      <c r="B84" s="64"/>
    </row>
    <row r="85" spans="1:2" x14ac:dyDescent="0.35">
      <c r="A85" s="2" t="str">
        <f t="array" ref="A85">IFERROR(INDEX(tblunits[unitname],SMALL(IF((tblunits[nation]=$B$23)*(tblunits[division]=#REF!)*(tblunits[squadtype]=#REF!),ROW(tblunits[unitname])-MIN(ROW(tblunits[unitname]))+1),ROWS($A$83:A85))),"")</f>
        <v/>
      </c>
      <c r="B85" s="64"/>
    </row>
    <row r="86" spans="1:2" x14ac:dyDescent="0.35">
      <c r="A86" s="2" t="str">
        <f t="array" ref="A86">IFERROR(INDEX(tblunits[unitname],SMALL(IF((tblunits[nation]=$B$23)*(tblunits[division]=#REF!)*(tblunits[squadtype]=#REF!),ROW(tblunits[unitname])-MIN(ROW(tblunits[unitname]))+1),ROWS($A$83:A86))),"")</f>
        <v/>
      </c>
      <c r="B86" s="56"/>
    </row>
    <row r="87" spans="1:2" x14ac:dyDescent="0.35">
      <c r="A87" s="2" t="str">
        <f t="array" ref="A87">IFERROR(INDEX(tblunits[unitname],SMALL(IF((tblunits[nation]=$B$23)*(tblunits[division]=#REF!)*(tblunits[squadtype]=#REF!),ROW(tblunits[unitname])-MIN(ROW(tblunits[unitname]))+1),ROWS($A$83:A87))),"")</f>
        <v/>
      </c>
      <c r="B87" s="59"/>
    </row>
    <row r="88" spans="1:2" x14ac:dyDescent="0.35">
      <c r="A88" s="2" t="str">
        <f t="array" ref="A88">IFERROR(INDEX(tblunits[unitname],SMALL(IF((tblunits[nation]=$B$23)*(tblunits[division]=#REF!)*(tblunits[squadtype]=#REF!),ROW(tblunits[unitname])-MIN(ROW(tblunits[unitname]))+1),ROWS($A$83:A88))),"")</f>
        <v/>
      </c>
      <c r="B88" s="59"/>
    </row>
    <row r="89" spans="1:2" x14ac:dyDescent="0.35">
      <c r="A89" s="2" t="str">
        <f t="array" ref="A89">IFERROR(INDEX(tblunits[unitname],SMALL(IF((tblunits[nation]=$B$23)*(tblunits[division]=#REF!)*(tblunits[squadtype]=#REF!),ROW(tblunits[unitname])-MIN(ROW(tblunits[unitname]))+1),ROWS($A$83:A89))),"")</f>
        <v/>
      </c>
      <c r="B89" s="59"/>
    </row>
    <row r="90" spans="1:2" x14ac:dyDescent="0.35">
      <c r="A90" s="2" t="str">
        <f t="array" ref="A90">IFERROR(INDEX(tblunits[unitname],SMALL(IF((tblunits[nation]=$B$23)*(tblunits[division]=#REF!)*(tblunits[squadtype]=#REF!),ROW(tblunits[unitname])-MIN(ROW(tblunits[unitname]))+1),ROWS($A$83:A90))),"")</f>
        <v/>
      </c>
      <c r="B90" s="59"/>
    </row>
    <row r="91" spans="1:2" x14ac:dyDescent="0.35">
      <c r="A91" s="2" t="str">
        <f t="array" ref="A91">IFERROR(INDEX(tblunits[unitname],SMALL(IF((tblunits[nation]=$B$23)*(tblunits[division]=#REF!)*(tblunits[squadtype]=#REF!),ROW(tblunits[unitname])-MIN(ROW(tblunits[unitname]))+1),ROWS($A$83:A91))),"")</f>
        <v/>
      </c>
      <c r="B91" s="59"/>
    </row>
    <row r="92" spans="1:2" x14ac:dyDescent="0.35">
      <c r="A92" s="2" t="str">
        <f t="array" ref="A92">IFERROR(INDEX(tblunits[unitname],SMALL(IF((tblunits[nation]=$B$23)*(tblunits[division]=#REF!)*(tblunits[squadtype]=#REF!),ROW(tblunits[unitname])-MIN(ROW(tblunits[unitname]))+1),ROWS($A$83:A92))),"")</f>
        <v/>
      </c>
      <c r="B92" s="59"/>
    </row>
    <row r="93" spans="1:2" x14ac:dyDescent="0.35">
      <c r="A93" s="2" t="str">
        <f t="array" ref="A93">IFERROR(INDEX(tblunits[unitname],SMALL(IF((tblunits[nation]=$B$23)*(tblunits[division]=#REF!)*(tblunits[squadtype]=#REF!),ROW(tblunits[unitname])-MIN(ROW(tblunits[unitname]))+1),ROWS($A$83:A93))),"")</f>
        <v/>
      </c>
      <c r="B93" s="59"/>
    </row>
    <row r="94" spans="1:2" x14ac:dyDescent="0.35">
      <c r="A94" s="2" t="str">
        <f t="array" ref="A94">IFERROR(INDEX(tblunits[unitname],SMALL(IF((tblunits[nation]=$B$23)*(tblunits[division]=#REF!)*(tblunits[squadtype]=#REF!),ROW(tblunits[unitname])-MIN(ROW(tblunits[unitname]))+1),ROWS($A$83:A94))),"")</f>
        <v/>
      </c>
      <c r="B94" s="59"/>
    </row>
    <row r="95" spans="1:2" x14ac:dyDescent="0.35">
      <c r="A95" s="2" t="str">
        <f t="array" ref="A95">IFERROR(INDEX(tblunits[unitname],SMALL(IF((tblunits[nation]=$B$23)*(tblunits[division]=#REF!)*(tblunits[squadtype]=#REF!),ROW(tblunits[unitname])-MIN(ROW(tblunits[unitname]))+1),ROWS($A$83:A95))),"")</f>
        <v/>
      </c>
      <c r="B95" s="59"/>
    </row>
    <row r="96" spans="1:2" x14ac:dyDescent="0.35">
      <c r="A96" s="2" t="str">
        <f t="array" ref="A96">IFERROR(INDEX(tblunits[unitname],SMALL(IF((tblunits[nation]=$B$23)*(tblunits[division]=#REF!)*(tblunits[squadtype]=#REF!),ROW(tblunits[unitname])-MIN(ROW(tblunits[unitname]))+1),ROWS($A$83:A96))),"")</f>
        <v/>
      </c>
      <c r="B96" s="59"/>
    </row>
    <row r="97" spans="1:2" x14ac:dyDescent="0.35">
      <c r="A97" s="2" t="str">
        <f t="array" ref="A97">IFERROR(INDEX(tblunits[unitname],SMALL(IF((tblunits[nation]=$B$23)*(tblunits[division]=#REF!)*(tblunits[squadtype]=#REF!),ROW(tblunits[unitname])-MIN(ROW(tblunits[unitname]))+1),ROWS($A$83:A97))),"")</f>
        <v/>
      </c>
      <c r="B97" s="13"/>
    </row>
    <row r="98" spans="1:2" x14ac:dyDescent="0.35">
      <c r="A98" s="2" t="str">
        <f t="array" ref="A98">IFERROR(INDEX(tblunits[unitname],SMALL(IF((tblunits[nation]=$B$23)*(tblunits[division]=#REF!)*(tblunits[squadtype]=#REF!),ROW(tblunits[unitname])-MIN(ROW(tblunits[unitname]))+1),ROWS($A$83:A98))),"")</f>
        <v/>
      </c>
    </row>
    <row r="99" spans="1:2" x14ac:dyDescent="0.35">
      <c r="A99" s="2" t="str">
        <f t="array" ref="A99">IFERROR(INDEX(tblunits[unitname],SMALL(IF((tblunits[nation]=$B$23)*(tblunits[division]=#REF!)*(tblunits[squadtype]=#REF!),ROW(tblunits[unitname])-MIN(ROW(tblunits[unitname]))+1),ROWS($A$83:A99))),"")</f>
        <v/>
      </c>
    </row>
    <row r="100" spans="1:2" x14ac:dyDescent="0.35">
      <c r="A100" s="2" t="str">
        <f t="array" ref="A100">IFERROR(INDEX(tblunits[unitname],SMALL(IF((tblunits[nation]=$B$23)*(tblunits[division]=#REF!)*(tblunits[squadtype]=#REF!),ROW(tblunits[unitname])-MIN(ROW(tblunits[unitname]))+1),ROWS($A$83:A100))),"")</f>
        <v/>
      </c>
    </row>
    <row r="101" spans="1:2" x14ac:dyDescent="0.35">
      <c r="A101" s="2" t="str">
        <f t="array" ref="A101">IFERROR(INDEX(tblunits[unitname],SMALL(IF((tblunits[nation]=$B$23)*(tblunits[division]=#REF!)*(tblunits[squadtype]=#REF!),ROW(tblunits[unitname])-MIN(ROW(tblunits[unitname]))+1),ROWS($A$83:A101))),"")</f>
        <v/>
      </c>
    </row>
    <row r="102" spans="1:2" x14ac:dyDescent="0.35">
      <c r="A102" s="2" t="str">
        <f t="array" ref="A102">IFERROR(INDEX(tblunits[unitname],SMALL(IF((tblunits[nation]=$B$23)*(tblunits[division]=#REF!)*(tblunits[squadtype]=#REF!),ROW(tblunits[unitname])-MIN(ROW(tblunits[unitname]))+1),ROWS($A$83:A102))),"")</f>
        <v/>
      </c>
    </row>
    <row r="103" spans="1:2" x14ac:dyDescent="0.35">
      <c r="A103" s="2" t="str">
        <f t="array" ref="A103">IFERROR(INDEX(tblunits[unitname],SMALL(IF((tblunits[nation]=$B$23)*(tblunits[division]=#REF!)*(tblunits[squadtype]=#REF!),ROW(tblunits[unitname])-MIN(ROW(tblunits[unitname]))+1),ROWS($A$83:A103))),"")</f>
        <v/>
      </c>
    </row>
    <row r="104" spans="1:2" x14ac:dyDescent="0.35">
      <c r="A104" s="2" t="str">
        <f t="array" ref="A104">IFERROR(INDEX(tblunits[unitname],SMALL(IF((tblunits[nation]=$B$23)*(tblunits[division]=#REF!)*(tblunits[squadtype]=#REF!),ROW(tblunits[unitname])-MIN(ROW(tblunits[unitname]))+1),ROWS($A$83:A104))),"")</f>
        <v/>
      </c>
    </row>
    <row r="105" spans="1:2" x14ac:dyDescent="0.35">
      <c r="A105" s="2" t="str">
        <f t="array" ref="A105">IFERROR(INDEX(tblunits[unitname],SMALL(IF((tblunits[nation]=$B$23)*(tblunits[division]=#REF!)*(tblunits[squadtype]=#REF!),ROW(tblunits[unitname])-MIN(ROW(tblunits[unitname]))+1),ROWS($A$83:A105))),"")</f>
        <v/>
      </c>
    </row>
    <row r="106" spans="1:2" x14ac:dyDescent="0.35">
      <c r="A106" s="2" t="str">
        <f t="array" ref="A106">IFERROR(INDEX(tblunits[unitname],SMALL(IF((tblunits[nation]=$B$23)*(tblunits[division]=#REF!)*(tblunits[squadtype]=#REF!),ROW(tblunits[unitname])-MIN(ROW(tblunits[unitname]))+1),ROWS($A$83:A106))),"")</f>
        <v/>
      </c>
    </row>
    <row r="107" spans="1:2" x14ac:dyDescent="0.35">
      <c r="A107" s="2" t="str">
        <f t="array" ref="A107">IFERROR(INDEX(tblunits[unitname],SMALL(IF((tblunits[nation]=$B$23)*(tblunits[division]=#REF!)*(tblunits[squadtype]=#REF!),ROW(tblunits[unitname])-MIN(ROW(tblunits[unitname]))+1),ROWS($A$83:A107))),"")</f>
        <v/>
      </c>
    </row>
    <row r="108" spans="1:2" x14ac:dyDescent="0.35">
      <c r="A108" s="2" t="str">
        <f t="array" ref="A108">IFERROR(INDEX(tblunits[unitname],SMALL(IF((tblunits[nation]=$B$23)*(tblunits[division]=#REF!)*(tblunits[squadtype]=#REF!),ROW(tblunits[unitname])-MIN(ROW(tblunits[unitname]))+1),ROWS($A$83:A108))),"")</f>
        <v/>
      </c>
    </row>
    <row r="109" spans="1:2" x14ac:dyDescent="0.35">
      <c r="A109" s="2" t="str">
        <f t="array" ref="A109">IFERROR(INDEX(tblunits[unitname],SMALL(IF((tblunits[nation]=$B$23)*(tblunits[division]=#REF!)*(tblunits[squadtype]=#REF!),ROW(tblunits[unitname])-MIN(ROW(tblunits[unitname]))+1),ROWS($A$83:A109))),"")</f>
        <v/>
      </c>
    </row>
    <row r="110" spans="1:2" x14ac:dyDescent="0.35">
      <c r="A110" s="2" t="str">
        <f t="array" ref="A110">IFERROR(INDEX(tblunits[unitname],SMALL(IF((tblunits[nation]=$B$23)*(tblunits[division]=#REF!)*(tblunits[squadtype]=#REF!),ROW(tblunits[unitname])-MIN(ROW(tblunits[unitname]))+1),ROWS($A$83:A110))),"")</f>
        <v/>
      </c>
    </row>
    <row r="111" spans="1:2" x14ac:dyDescent="0.35">
      <c r="A111" s="2" t="str">
        <f t="array" ref="A111">IFERROR(INDEX(tblunits[unitname],SMALL(IF((tblunits[nation]=$B$23)*(tblunits[division]=#REF!)*(tblunits[squadtype]=#REF!),ROW(tblunits[unitname])-MIN(ROW(tblunits[unitname]))+1),ROWS($A$83:A111))),"")</f>
        <v/>
      </c>
    </row>
    <row r="112" spans="1:2" x14ac:dyDescent="0.35">
      <c r="A112" s="2" t="str">
        <f t="array" ref="A112">IFERROR(INDEX(tblunits[unitname],SMALL(IF((tblunits[nation]=$B$23)*(tblunits[division]=#REF!)*(tblunits[squadtype]=#REF!),ROW(tblunits[unitname])-MIN(ROW(tblunits[unitname]))+1),ROWS($A$83:A112))),"")</f>
        <v/>
      </c>
    </row>
    <row r="113" spans="1:1" x14ac:dyDescent="0.35">
      <c r="A113" s="2" t="str">
        <f t="array" ref="A113">IFERROR(INDEX(tblunits[unitname],SMALL(IF((tblunits[nation]=$B$23)*(tblunits[division]=#REF!)*(tblunits[squadtype]=#REF!),ROW(tblunits[unitname])-MIN(ROW(tblunits[unitname]))+1),ROWS($A$83:A113))),"")</f>
        <v/>
      </c>
    </row>
    <row r="114" spans="1:1" x14ac:dyDescent="0.35">
      <c r="A114" s="2" t="str">
        <f t="array" ref="A114">IFERROR(INDEX(tblunits[unitname],SMALL(IF((tblunits[nation]=$B$23)*(tblunits[division]=#REF!)*(tblunits[squadtype]=#REF!),ROW(tblunits[unitname])-MIN(ROW(tblunits[unitname]))+1),ROWS($A$83:A114))),"")</f>
        <v/>
      </c>
    </row>
    <row r="115" spans="1:1" x14ac:dyDescent="0.35">
      <c r="A115" s="2" t="str">
        <f t="array" ref="A115">IFERROR(INDEX(tblunits[unitname],SMALL(IF((tblunits[nation]=$B$23)*(tblunits[division]=#REF!)*(tblunits[squadtype]=#REF!),ROW(tblunits[unitname])-MIN(ROW(tblunits[unitname]))+1),ROWS($A$83:A115))),"")</f>
        <v/>
      </c>
    </row>
    <row r="116" spans="1:1" x14ac:dyDescent="0.35">
      <c r="A116" s="2" t="str">
        <f t="array" ref="A116">IFERROR(INDEX(tblunits[unitname],SMALL(IF((tblunits[nation]=$B$23)*(tblunits[division]=#REF!)*(tblunits[squadtype]=#REF!),ROW(tblunits[unitname])-MIN(ROW(tblunits[unitname]))+1),ROWS($A$83:A116))),"")</f>
        <v/>
      </c>
    </row>
    <row r="117" spans="1:1" x14ac:dyDescent="0.35">
      <c r="A117" s="2" t="str">
        <f t="array" ref="A117">IFERROR(INDEX(tblunits[unitname],SMALL(IF((tblunits[nation]=$B$23)*(tblunits[division]=#REF!)*(tblunits[squadtype]=#REF!),ROW(tblunits[unitname])-MIN(ROW(tblunits[unitname]))+1),ROWS($A$83:A117))),"")</f>
        <v/>
      </c>
    </row>
    <row r="118" spans="1:1" x14ac:dyDescent="0.35">
      <c r="A118" s="2" t="str">
        <f t="array" ref="A118">IFERROR(INDEX(tblunits[unitname],SMALL(IF((tblunits[nation]=$B$23)*(tblunits[division]=#REF!)*(tblunits[squadtype]=#REF!),ROW(tblunits[unitname])-MIN(ROW(tblunits[unitname]))+1),ROWS($A$83:A118))),"")</f>
        <v/>
      </c>
    </row>
    <row r="119" spans="1:1" x14ac:dyDescent="0.35">
      <c r="A119" s="2" t="str">
        <f t="array" ref="A119">IFERROR(INDEX(tblunits[unitname],SMALL(IF((tblunits[nation]=$B$23)*(tblunits[division]=#REF!)*(tblunits[squadtype]=#REF!),ROW(tblunits[unitname])-MIN(ROW(tblunits[unitname]))+1),ROWS($A$83:A119))),"")</f>
        <v/>
      </c>
    </row>
    <row r="120" spans="1:1" x14ac:dyDescent="0.35">
      <c r="A120" s="2" t="str">
        <f t="array" ref="A120">IFERROR(INDEX(tblunits[unitname],SMALL(IF((tblunits[nation]=$B$23)*(tblunits[division]=#REF!)*(tblunits[squadtype]=#REF!),ROW(tblunits[unitname])-MIN(ROW(tblunits[unitname]))+1),ROWS($A$83:A120))),"")</f>
        <v/>
      </c>
    </row>
    <row r="121" spans="1:1" x14ac:dyDescent="0.35">
      <c r="A121" s="2" t="str">
        <f t="array" ref="A121">IFERROR(INDEX(tblunits[unitname],SMALL(IF((tblunits[nation]=$B$23)*(tblunits[division]=#REF!)*(tblunits[squadtype]=#REF!),ROW(tblunits[unitname])-MIN(ROW(tblunits[unitname]))+1),ROWS($A$83:A121))),"")</f>
        <v/>
      </c>
    </row>
    <row r="122" spans="1:1" x14ac:dyDescent="0.35">
      <c r="A122" s="2" t="str">
        <f t="array" ref="A122">IFERROR(INDEX(tblunits[unitname],SMALL(IF((tblunits[nation]=$B$23)*(tblunits[division]=#REF!)*(tblunits[squadtype]=#REF!),ROW(tblunits[unitname])-MIN(ROW(tblunits[unitname]))+1),ROWS($A$83:A122))),"")</f>
        <v/>
      </c>
    </row>
    <row r="123" spans="1:1" x14ac:dyDescent="0.35">
      <c r="A123" s="2" t="str">
        <f t="array" ref="A123">IFERROR(INDEX(tblunits[unitname],SMALL(IF((tblunits[nation]=$B$23)*(tblunits[division]=#REF!)*(tblunits[squadtype]=#REF!),ROW(tblunits[unitname])-MIN(ROW(tblunits[unitname]))+1),ROWS($A$83:A123))),"")</f>
        <v/>
      </c>
    </row>
    <row r="124" spans="1:1" x14ac:dyDescent="0.35">
      <c r="A124" s="2" t="str">
        <f t="array" ref="A124">IFERROR(INDEX(tblunits[unitname],SMALL(IF((tblunits[nation]=$B$23)*(tblunits[division]=#REF!)*(tblunits[squadtype]=#REF!),ROW(tblunits[unitname])-MIN(ROW(tblunits[unitname]))+1),ROWS($A$83:A124))),"")</f>
        <v/>
      </c>
    </row>
    <row r="125" spans="1:1" x14ac:dyDescent="0.35">
      <c r="A125" s="2" t="str">
        <f t="array" ref="A125">IFERROR(INDEX(tblunits[unitname],SMALL(IF((tblunits[nation]=$B$23)*(tblunits[division]=#REF!)*(tblunits[squadtype]=#REF!),ROW(tblunits[unitname])-MIN(ROW(tblunits[unitname]))+1),ROWS($A$83:A125))),"")</f>
        <v/>
      </c>
    </row>
    <row r="126" spans="1:1" x14ac:dyDescent="0.35">
      <c r="A126" s="2" t="str">
        <f t="array" ref="A126">IFERROR(INDEX(tblunits[unitname],SMALL(IF((tblunits[nation]=$B$23)*(tblunits[division]=#REF!)*(tblunits[squadtype]=#REF!),ROW(tblunits[unitname])-MIN(ROW(tblunits[unitname]))+1),ROWS($A$83:A126))),"")</f>
        <v/>
      </c>
    </row>
    <row r="127" spans="1:1" x14ac:dyDescent="0.35">
      <c r="A127" s="2" t="str">
        <f t="array" ref="A127">IFERROR(INDEX(tblunits[unitname],SMALL(IF((tblunits[nation]=$B$23)*(tblunits[division]=#REF!)*(tblunits[squadtype]=#REF!),ROW(tblunits[unitname])-MIN(ROW(tblunits[unitname]))+1),ROWS($A$83:A127))),"")</f>
        <v/>
      </c>
    </row>
    <row r="128" spans="1:1" x14ac:dyDescent="0.35">
      <c r="A128" s="2" t="str">
        <f t="array" ref="A128">IFERROR(INDEX(tblunits[unitname],SMALL(IF((tblunits[nation]=$B$23)*(tblunits[division]=#REF!)*(tblunits[squadtype]=#REF!),ROW(tblunits[unitname])-MIN(ROW(tblunits[unitname]))+1),ROWS($A$83:A128))),"")</f>
        <v/>
      </c>
    </row>
    <row r="129" spans="1:1" x14ac:dyDescent="0.35">
      <c r="A129" s="2" t="str">
        <f t="array" ref="A129">IFERROR(INDEX(tblunits[unitname],SMALL(IF((tblunits[nation]=$B$23)*(tblunits[division]=#REF!)*(tblunits[squadtype]=#REF!),ROW(tblunits[unitname])-MIN(ROW(tblunits[unitname]))+1),ROWS($A$83:A129))),"")</f>
        <v/>
      </c>
    </row>
    <row r="130" spans="1:1" x14ac:dyDescent="0.35">
      <c r="A130" s="2" t="str">
        <f t="array" ref="A130">IFERROR(INDEX(tblunits[unitname],SMALL(IF((tblunits[nation]=$B$23)*(tblunits[division]=#REF!)*(tblunits[squadtype]=#REF!),ROW(tblunits[unitname])-MIN(ROW(tblunits[unitname]))+1),ROWS($A$83:A130))),"")</f>
        <v/>
      </c>
    </row>
    <row r="131" spans="1:1" x14ac:dyDescent="0.35">
      <c r="A131" s="2" t="str">
        <f t="array" ref="A131">IFERROR(INDEX(tblunits[unitname],SMALL(IF((tblunits[nation]=$B$23)*(tblunits[division]=#REF!)*(tblunits[squadtype]=#REF!),ROW(tblunits[unitname])-MIN(ROW(tblunits[unitname]))+1),ROWS($A$83:A131))),"")</f>
        <v/>
      </c>
    </row>
    <row r="132" spans="1:1" x14ac:dyDescent="0.35">
      <c r="A132" s="2" t="str">
        <f t="array" ref="A132">IFERROR(INDEX(tblunits[unitname],SMALL(IF((tblunits[nation]=$B$23)*(tblunits[division]=#REF!)*(tblunits[squadtype]=#REF!),ROW(tblunits[unitname])-MIN(ROW(tblunits[unitname]))+1),ROWS($A$83:A132))),"")</f>
        <v/>
      </c>
    </row>
    <row r="133" spans="1:1" x14ac:dyDescent="0.35">
      <c r="A133" s="2" t="str">
        <f t="array" ref="A133">IFERROR(INDEX(tblunits[unitname],SMALL(IF((tblunits[nation]=$B$23)*(tblunits[division]=#REF!)*(tblunits[squadtype]=#REF!),ROW(tblunits[unitname])-MIN(ROW(tblunits[unitname]))+1),ROWS($A$83:A133))),"")</f>
        <v/>
      </c>
    </row>
    <row r="134" spans="1:1" x14ac:dyDescent="0.35">
      <c r="A134" s="2" t="str">
        <f t="array" ref="A134">IFERROR(INDEX(tblunits[unitname],SMALL(IF((tblunits[nation]=$B$23)*(tblunits[division]=#REF!)*(tblunits[squadtype]=#REF!),ROW(tblunits[unitname])-MIN(ROW(tblunits[unitname]))+1),ROWS($A$83:A134))),"")</f>
        <v/>
      </c>
    </row>
    <row r="135" spans="1:1" x14ac:dyDescent="0.35">
      <c r="A135" s="2" t="str">
        <f t="array" ref="A135">IFERROR(INDEX(tblunits[unitname],SMALL(IF((tblunits[nation]=$B$23)*(tblunits[division]=#REF!)*(tblunits[squadtype]=#REF!),ROW(tblunits[unitname])-MIN(ROW(tblunits[unitname]))+1),ROWS($A$83:A135))),"")</f>
        <v/>
      </c>
    </row>
    <row r="136" spans="1:1" x14ac:dyDescent="0.35">
      <c r="A136" s="2" t="str">
        <f t="array" ref="A136">IFERROR(INDEX(tblunits[unitname],SMALL(IF((tblunits[nation]=$B$23)*(tblunits[division]=#REF!)*(tblunits[squadtype]=#REF!),ROW(tblunits[unitname])-MIN(ROW(tblunits[unitname]))+1),ROWS($A$83:A136))),"")</f>
        <v/>
      </c>
    </row>
    <row r="137" spans="1:1" x14ac:dyDescent="0.35">
      <c r="A137" s="2" t="str">
        <f t="array" ref="A137">IFERROR(INDEX(tblunits[unitname],SMALL(IF((tblunits[nation]=$B$23)*(tblunits[division]=#REF!)*(tblunits[squadtype]=#REF!),ROW(tblunits[unitname])-MIN(ROW(tblunits[unitname]))+1),ROWS($A$83:A137))),"")</f>
        <v/>
      </c>
    </row>
    <row r="138" spans="1:1" x14ac:dyDescent="0.35">
      <c r="A138" s="2" t="str">
        <f t="array" ref="A138">IFERROR(INDEX(tblunits[unitname],SMALL(IF((tblunits[nation]=$B$23)*(tblunits[division]=#REF!)*(tblunits[squadtype]=#REF!),ROW(tblunits[unitname])-MIN(ROW(tblunits[unitname]))+1),ROWS($A$83:A138))),"")</f>
        <v/>
      </c>
    </row>
    <row r="139" spans="1:1" x14ac:dyDescent="0.35">
      <c r="A139" s="2" t="str">
        <f t="array" ref="A139">IFERROR(INDEX(tblunits[unitname],SMALL(IF((tblunits[nation]=$B$23)*(tblunits[division]=#REF!)*(tblunits[squadtype]=#REF!),ROW(tblunits[unitname])-MIN(ROW(tblunits[unitname]))+1),ROWS($A$83:A139))),"")</f>
        <v/>
      </c>
    </row>
    <row r="140" spans="1:1" x14ac:dyDescent="0.35">
      <c r="A140" s="2" t="str">
        <f t="array" ref="A140">IFERROR(INDEX(tblunits[unitname],SMALL(IF((tblunits[nation]=$B$23)*(tblunits[division]=#REF!)*(tblunits[squadtype]=#REF!),ROW(tblunits[unitname])-MIN(ROW(tblunits[unitname]))+1),ROWS($A$83:A140))),"")</f>
        <v/>
      </c>
    </row>
    <row r="141" spans="1:1" x14ac:dyDescent="0.35">
      <c r="A141" s="2" t="str">
        <f t="array" ref="A141">IFERROR(INDEX(tblunits[unitname],SMALL(IF((tblunits[nation]=$B$23)*(tblunits[division]=#REF!)*(tblunits[squadtype]=#REF!),ROW(tblunits[unitname])-MIN(ROW(tblunits[unitname]))+1),ROWS($A$83:A141))),"")</f>
        <v/>
      </c>
    </row>
    <row r="142" spans="1:1" x14ac:dyDescent="0.35">
      <c r="A142" s="2" t="str">
        <f t="array" ref="A142">IFERROR(INDEX(tblunits[unitname],SMALL(IF((tblunits[nation]=$B$23)*(tblunits[division]=#REF!)*(tblunits[squadtype]=#REF!),ROW(tblunits[unitname])-MIN(ROW(tblunits[unitname]))+1),ROWS($A$83:A142))),"")</f>
        <v/>
      </c>
    </row>
    <row r="143" spans="1:1" x14ac:dyDescent="0.35">
      <c r="A143" s="2" t="str">
        <f t="array" ref="A143">IFERROR(INDEX(tblunits[unitname],SMALL(IF((tblunits[nation]=$B$23)*(tblunits[division]=#REF!)*(tblunits[squadtype]=#REF!),ROW(tblunits[unitname])-MIN(ROW(tblunits[unitname]))+1),ROWS($A$83:A143))),"")</f>
        <v/>
      </c>
    </row>
    <row r="144" spans="1:1" x14ac:dyDescent="0.35">
      <c r="A144" s="2" t="str">
        <f t="array" ref="A144">IFERROR(INDEX(tblunits[unitname],SMALL(IF((tblunits[nation]=$B$23)*(tblunits[division]=#REF!)*(tblunits[squadtype]=#REF!),ROW(tblunits[unitname])-MIN(ROW(tblunits[unitname]))+1),ROWS($A$83:A144))),"")</f>
        <v/>
      </c>
    </row>
    <row r="145" spans="1:1" x14ac:dyDescent="0.35">
      <c r="A145" s="2" t="str">
        <f t="array" ref="A145">IFERROR(INDEX(tblunits[unitname],SMALL(IF((tblunits[nation]=$B$23)*(tblunits[division]=#REF!)*(tblunits[squadtype]=#REF!),ROW(tblunits[unitname])-MIN(ROW(tblunits[unitname]))+1),ROWS($A$83:A145))),"")</f>
        <v/>
      </c>
    </row>
    <row r="146" spans="1:1" x14ac:dyDescent="0.35">
      <c r="A146" s="2" t="str">
        <f t="array" ref="A146">IFERROR(INDEX(tblunits[unitname],SMALL(IF((tblunits[nation]=$B$23)*(tblunits[division]=#REF!)*(tblunits[squadtype]=#REF!),ROW(tblunits[unitname])-MIN(ROW(tblunits[unitname]))+1),ROWS($A$83:A146))),"")</f>
        <v/>
      </c>
    </row>
    <row r="147" spans="1:1" x14ac:dyDescent="0.35">
      <c r="A147" s="2" t="str">
        <f t="array" ref="A147">IFERROR(INDEX(tblunits[unitname],SMALL(IF((tblunits[nation]=$B$23)*(tblunits[division]=#REF!)*(tblunits[squadtype]=#REF!),ROW(tblunits[unitname])-MIN(ROW(tblunits[unitname]))+1),ROWS($A$83:A147))),"")</f>
        <v/>
      </c>
    </row>
    <row r="148" spans="1:1" x14ac:dyDescent="0.35">
      <c r="A148" s="2" t="str">
        <f t="array" ref="A148">IFERROR(INDEX(tblunits[unitname],SMALL(IF((tblunits[nation]=$B$23)*(tblunits[division]=#REF!)*(tblunits[squadtype]=#REF!),ROW(tblunits[unitname])-MIN(ROW(tblunits[unitname]))+1),ROWS($A$83:A148))),"")</f>
        <v/>
      </c>
    </row>
    <row r="149" spans="1:1" x14ac:dyDescent="0.35">
      <c r="A149" s="2" t="str">
        <f t="array" ref="A149">IFERROR(INDEX(tblunits[unitname],SMALL(IF((tblunits[nation]=$B$23)*(tblunits[division]=#REF!)*(tblunits[squadtype]=#REF!),ROW(tblunits[unitname])-MIN(ROW(tblunits[unitname]))+1),ROWS($A$83:A149))),"")</f>
        <v/>
      </c>
    </row>
    <row r="150" spans="1:1" x14ac:dyDescent="0.35">
      <c r="A150" s="2" t="str">
        <f t="array" ref="A150">IFERROR(INDEX(tblunits[unitname],SMALL(IF((tblunits[nation]=$B$23)*(tblunits[division]=#REF!)*(tblunits[squadtype]=#REF!),ROW(tblunits[unitname])-MIN(ROW(tblunits[unitname]))+1),ROWS($A$83:A150))),"")</f>
        <v/>
      </c>
    </row>
    <row r="151" spans="1:1" x14ac:dyDescent="0.35">
      <c r="A151" s="2" t="str">
        <f t="array" ref="A151">IFERROR(INDEX(tblunits[unitname],SMALL(IF((tblunits[nation]=$B$23)*(tblunits[division]=#REF!)*(tblunits[squadtype]=#REF!),ROW(tblunits[unitname])-MIN(ROW(tblunits[unitname]))+1),ROWS($A$83:A151))),"")</f>
        <v/>
      </c>
    </row>
    <row r="152" spans="1:1" x14ac:dyDescent="0.35">
      <c r="A152" s="2" t="str">
        <f t="array" ref="A152">IFERROR(INDEX(tblunits[unitname],SMALL(IF((tblunits[nation]=$B$23)*(tblunits[division]=#REF!)*(tblunits[squadtype]=#REF!),ROW(tblunits[unitname])-MIN(ROW(tblunits[unitname]))+1),ROWS($A$83:A152))),"")</f>
        <v/>
      </c>
    </row>
    <row r="153" spans="1:1" x14ac:dyDescent="0.35">
      <c r="A153" s="2" t="str">
        <f t="array" ref="A153">IFERROR(INDEX(tblunits[unitname],SMALL(IF((tblunits[nation]=$B$23)*(tblunits[division]=#REF!)*(tblunits[squadtype]=#REF!),ROW(tblunits[unitname])-MIN(ROW(tblunits[unitname]))+1),ROWS($A$83:A153))),"")</f>
        <v/>
      </c>
    </row>
    <row r="154" spans="1:1" x14ac:dyDescent="0.35">
      <c r="A154" s="2" t="str">
        <f t="array" ref="A154">IFERROR(INDEX(tblunits[unitname],SMALL(IF((tblunits[nation]=$B$23)*(tblunits[division]=#REF!)*(tblunits[squadtype]=#REF!),ROW(tblunits[unitname])-MIN(ROW(tblunits[unitname]))+1),ROWS($A$83:A154))),"")</f>
        <v/>
      </c>
    </row>
    <row r="155" spans="1:1" x14ac:dyDescent="0.35">
      <c r="A155" s="2" t="str">
        <f t="array" ref="A155">IFERROR(INDEX(tblunits[unitname],SMALL(IF((tblunits[nation]=$B$23)*(tblunits[division]=#REF!)*(tblunits[squadtype]=#REF!),ROW(tblunits[unitname])-MIN(ROW(tblunits[unitname]))+1),ROWS($A$83:A155))),"")</f>
        <v/>
      </c>
    </row>
    <row r="156" spans="1:1" x14ac:dyDescent="0.35">
      <c r="A156" s="2" t="str">
        <f t="array" ref="A156">IFERROR(INDEX(tblunits[unitname],SMALL(IF((tblunits[nation]=$B$23)*(tblunits[division]=#REF!)*(tblunits[squadtype]=#REF!),ROW(tblunits[unitname])-MIN(ROW(tblunits[unitname]))+1),ROWS($A$83:A156))),"")</f>
        <v/>
      </c>
    </row>
    <row r="157" spans="1:1" x14ac:dyDescent="0.35">
      <c r="A157" s="2" t="str">
        <f t="array" ref="A157">IFERROR(INDEX(tblunits[unitname],SMALL(IF((tblunits[nation]=$B$23)*(tblunits[division]=#REF!)*(tblunits[squadtype]=#REF!),ROW(tblunits[unitname])-MIN(ROW(tblunits[unitname]))+1),ROWS($A$83:A157))),"")</f>
        <v/>
      </c>
    </row>
    <row r="158" spans="1:1" x14ac:dyDescent="0.35">
      <c r="A158" s="2" t="str">
        <f t="array" ref="A158">IFERROR(INDEX(tblunits[unitname],SMALL(IF((tblunits[nation]=$B$23)*(tblunits[division]=#REF!)*(tblunits[squadtype]=#REF!),ROW(tblunits[unitname])-MIN(ROW(tblunits[unitname]))+1),ROWS($A$83:A158))),"")</f>
        <v/>
      </c>
    </row>
    <row r="159" spans="1:1" x14ac:dyDescent="0.35">
      <c r="A159" s="2" t="str">
        <f t="array" ref="A159">IFERROR(INDEX(tblunits[unitname],SMALL(IF((tblunits[nation]=$B$23)*(tblunits[division]=#REF!)*(tblunits[squadtype]=#REF!),ROW(tblunits[unitname])-MIN(ROW(tblunits[unitname]))+1),ROWS($A$83:A159))),"")</f>
        <v/>
      </c>
    </row>
    <row r="160" spans="1:1" x14ac:dyDescent="0.35">
      <c r="A160" s="2" t="str">
        <f t="array" ref="A160">IFERROR(INDEX(tblunits[unitname],SMALL(IF((tblunits[nation]=$B$23)*(tblunits[division]=#REF!)*(tblunits[squadtype]=#REF!),ROW(tblunits[unitname])-MIN(ROW(tblunits[unitname]))+1),ROWS($A$83:A160))),"")</f>
        <v/>
      </c>
    </row>
    <row r="161" spans="1:1" x14ac:dyDescent="0.35">
      <c r="A161" s="2" t="str">
        <f t="array" ref="A161">IFERROR(INDEX(tblunits[unitname],SMALL(IF((tblunits[nation]=$B$23)*(tblunits[division]=#REF!)*(tblunits[squadtype]=#REF!),ROW(tblunits[unitname])-MIN(ROW(tblunits[unitname]))+1),ROWS($A$83:A161))),"")</f>
        <v/>
      </c>
    </row>
    <row r="162" spans="1:1" x14ac:dyDescent="0.35">
      <c r="A162" s="2" t="str">
        <f t="array" ref="A162">IFERROR(INDEX(tblunits[unitname],SMALL(IF((tblunits[nation]=$B$23)*(tblunits[division]=#REF!)*(tblunits[squadtype]=#REF!),ROW(tblunits[unitname])-MIN(ROW(tblunits[unitname]))+1),ROWS($A$83:A162))),"")</f>
        <v/>
      </c>
    </row>
    <row r="163" spans="1:1" x14ac:dyDescent="0.35">
      <c r="A163" s="2" t="str">
        <f t="array" ref="A163">IFERROR(INDEX(tblunits[unitname],SMALL(IF((tblunits[nation]=$B$23)*(tblunits[division]=#REF!)*(tblunits[squadtype]=#REF!),ROW(tblunits[unitname])-MIN(ROW(tblunits[unitname]))+1),ROWS($A$83:A163))),"")</f>
        <v/>
      </c>
    </row>
    <row r="164" spans="1:1" x14ac:dyDescent="0.35">
      <c r="A164" s="2" t="str">
        <f t="array" ref="A164">IFERROR(INDEX(tblunits[unitname],SMALL(IF((tblunits[nation]=$B$23)*(tblunits[division]=#REF!)*(tblunits[squadtype]=#REF!),ROW(tblunits[unitname])-MIN(ROW(tblunits[unitname]))+1),ROWS($A$83:A164))),"")</f>
        <v/>
      </c>
    </row>
    <row r="165" spans="1:1" x14ac:dyDescent="0.35">
      <c r="A165" s="2" t="str">
        <f t="array" ref="A165">IFERROR(INDEX(tblunits[unitname],SMALL(IF((tblunits[nation]=$B$23)*(tblunits[division]=#REF!)*(tblunits[squadtype]=#REF!),ROW(tblunits[unitname])-MIN(ROW(tblunits[unitname]))+1),ROWS($A$83:A165))),"")</f>
        <v/>
      </c>
    </row>
    <row r="166" spans="1:1" x14ac:dyDescent="0.35">
      <c r="A166" s="2" t="str">
        <f t="array" ref="A166">IFERROR(INDEX(tblunits[unitname],SMALL(IF((tblunits[nation]=$B$23)*(tblunits[division]=#REF!)*(tblunits[squadtype]=#REF!),ROW(tblunits[unitname])-MIN(ROW(tblunits[unitname]))+1),ROWS($A$83:A166))),"")</f>
        <v/>
      </c>
    </row>
    <row r="167" spans="1:1" x14ac:dyDescent="0.35">
      <c r="A167" s="2" t="str">
        <f t="array" ref="A167">IFERROR(INDEX(tblunits[unitname],SMALL(IF((tblunits[nation]=$B$23)*(tblunits[division]=#REF!)*(tblunits[squadtype]=#REF!),ROW(tblunits[unitname])-MIN(ROW(tblunits[unitname]))+1),ROWS($A$83:A167))),"")</f>
        <v/>
      </c>
    </row>
    <row r="168" spans="1:1" x14ac:dyDescent="0.35">
      <c r="A168" s="2" t="str">
        <f t="array" ref="A168">IFERROR(INDEX(tblunits[unitname],SMALL(IF((tblunits[nation]=$B$23)*(tblunits[division]=#REF!)*(tblunits[squadtype]=#REF!),ROW(tblunits[unitname])-MIN(ROW(tblunits[unitname]))+1),ROWS($A$83:A168))),"")</f>
        <v/>
      </c>
    </row>
    <row r="169" spans="1:1" x14ac:dyDescent="0.35">
      <c r="A169" s="2" t="str">
        <f t="array" ref="A169">IFERROR(INDEX(tblunits[unitname],SMALL(IF((tblunits[nation]=$B$23)*(tblunits[division]=#REF!)*(tblunits[squadtype]=#REF!),ROW(tblunits[unitname])-MIN(ROW(tblunits[unitname]))+1),ROWS($A$83:A169))),"")</f>
        <v/>
      </c>
    </row>
    <row r="170" spans="1:1" x14ac:dyDescent="0.35">
      <c r="A170" s="2" t="str">
        <f t="array" ref="A170">IFERROR(INDEX(tblunits[unitname],SMALL(IF((tblunits[nation]=$B$23)*(tblunits[division]=#REF!)*(tblunits[squadtype]=#REF!),ROW(tblunits[unitname])-MIN(ROW(tblunits[unitname]))+1),ROWS($A$83:A170))),"")</f>
        <v/>
      </c>
    </row>
    <row r="171" spans="1:1" x14ac:dyDescent="0.35">
      <c r="A171" s="2" t="str">
        <f t="array" ref="A171">IFERROR(INDEX(tblunits[unitname],SMALL(IF((tblunits[nation]=$B$23)*(tblunits[division]=#REF!)*(tblunits[squadtype]=#REF!),ROW(tblunits[unitname])-MIN(ROW(tblunits[unitname]))+1),ROWS($A$83:A171))),"")</f>
        <v/>
      </c>
    </row>
    <row r="172" spans="1:1" x14ac:dyDescent="0.35">
      <c r="A172" s="2" t="str">
        <f t="array" ref="A172">IFERROR(INDEX(tblunits[unitname],SMALL(IF((tblunits[nation]=$B$23)*(tblunits[division]=#REF!)*(tblunits[squadtype]=#REF!),ROW(tblunits[unitname])-MIN(ROW(tblunits[unitname]))+1),ROWS($A$83:A172))),"")</f>
        <v/>
      </c>
    </row>
    <row r="173" spans="1:1" x14ac:dyDescent="0.35">
      <c r="A173" s="2" t="str">
        <f t="array" ref="A173">IFERROR(INDEX(tblunits[unitname],SMALL(IF((tblunits[nation]=$B$23)*(tblunits[division]=#REF!)*(tblunits[squadtype]=#REF!),ROW(tblunits[unitname])-MIN(ROW(tblunits[unitname]))+1),ROWS($A$83:A173))),"")</f>
        <v/>
      </c>
    </row>
    <row r="174" spans="1:1" x14ac:dyDescent="0.35">
      <c r="A174" s="2" t="str">
        <f t="array" ref="A174">IFERROR(INDEX(tblunits[unitname],SMALL(IF((tblunits[nation]=$B$23)*(tblunits[division]=#REF!)*(tblunits[squadtype]=#REF!),ROW(tblunits[unitname])-MIN(ROW(tblunits[unitname]))+1),ROWS($A$83:A174))),"")</f>
        <v/>
      </c>
    </row>
    <row r="175" spans="1:1" x14ac:dyDescent="0.35">
      <c r="A175" s="2" t="str">
        <f t="array" ref="A175">IFERROR(INDEX(tblunits[unitname],SMALL(IF((tblunits[nation]=$B$23)*(tblunits[division]=#REF!)*(tblunits[squadtype]=#REF!),ROW(tblunits[unitname])-MIN(ROW(tblunits[unitname]))+1),ROWS($A$83:A175))),"")</f>
        <v/>
      </c>
    </row>
    <row r="176" spans="1:1" x14ac:dyDescent="0.35">
      <c r="A176" s="2" t="str">
        <f t="array" ref="A176">IFERROR(INDEX(tblunits[unitname],SMALL(IF((tblunits[nation]=$B$23)*(tblunits[division]=#REF!)*(tblunits[squadtype]=#REF!),ROW(tblunits[unitname])-MIN(ROW(tblunits[unitname]))+1),ROWS($A$83:A176))),"")</f>
        <v/>
      </c>
    </row>
    <row r="177" spans="1:1" x14ac:dyDescent="0.35">
      <c r="A177" s="2" t="str">
        <f t="array" ref="A177">IFERROR(INDEX(tblunits[unitname],SMALL(IF((tblunits[nation]=$B$23)*(tblunits[division]=#REF!)*(tblunits[squadtype]=#REF!),ROW(tblunits[unitname])-MIN(ROW(tblunits[unitname]))+1),ROWS($A$83:A177))),"")</f>
        <v/>
      </c>
    </row>
    <row r="178" spans="1:1" x14ac:dyDescent="0.35">
      <c r="A178" s="2" t="str">
        <f t="array" ref="A178">IFERROR(INDEX(tblunits[unitname],SMALL(IF((tblunits[nation]=$B$23)*(tblunits[division]=#REF!)*(tblunits[squadtype]=#REF!),ROW(tblunits[unitname])-MIN(ROW(tblunits[unitname]))+1),ROWS($A$83:A178))),"")</f>
        <v/>
      </c>
    </row>
    <row r="179" spans="1:1" x14ac:dyDescent="0.35">
      <c r="A179" s="2" t="str">
        <f t="array" ref="A179">IFERROR(INDEX(tblunits[unitname],SMALL(IF((tblunits[nation]=$B$23)*(tblunits[division]=#REF!)*(tblunits[squadtype]=#REF!),ROW(tblunits[unitname])-MIN(ROW(tblunits[unitname]))+1),ROWS($A$83:A179))),"")</f>
        <v/>
      </c>
    </row>
    <row r="180" spans="1:1" x14ac:dyDescent="0.35">
      <c r="A180" s="2" t="str">
        <f t="array" ref="A180">IFERROR(INDEX(tblunits[unitname],SMALL(IF((tblunits[nation]=$B$23)*(tblunits[division]=#REF!)*(tblunits[squadtype]=#REF!),ROW(tblunits[unitname])-MIN(ROW(tblunits[unitname]))+1),ROWS($A$83:A180))),"")</f>
        <v/>
      </c>
    </row>
    <row r="181" spans="1:1" x14ac:dyDescent="0.35">
      <c r="A181" s="2" t="str">
        <f t="array" ref="A181">IFERROR(INDEX(tblunits[unitname],SMALL(IF((tblunits[nation]=$B$23)*(tblunits[division]=#REF!)*(tblunits[squadtype]=#REF!),ROW(tblunits[unitname])-MIN(ROW(tblunits[unitname]))+1),ROWS($A$83:A181))),"")</f>
        <v/>
      </c>
    </row>
    <row r="182" spans="1:1" x14ac:dyDescent="0.35">
      <c r="A182" s="2" t="str">
        <f t="array" ref="A182">IFERROR(INDEX(tblunits[unitname],SMALL(IF((tblunits[nation]=$B$23)*(tblunits[division]=#REF!)*(tblunits[squadtype]=#REF!),ROW(tblunits[unitname])-MIN(ROW(tblunits[unitname]))+1),ROWS($A$83:A182))),"")</f>
        <v/>
      </c>
    </row>
    <row r="183" spans="1:1" x14ac:dyDescent="0.35">
      <c r="A183" s="2" t="str">
        <f t="array" ref="A183">IFERROR(INDEX(tblunits[unitname],SMALL(IF((tblunits[nation]=$B$23)*(tblunits[division]=#REF!)*(tblunits[squadtype]=#REF!),ROW(tblunits[unitname])-MIN(ROW(tblunits[unitname]))+1),ROWS($A$83:A183))),"")</f>
        <v/>
      </c>
    </row>
    <row r="184" spans="1:1" x14ac:dyDescent="0.35">
      <c r="A184" s="2" t="str">
        <f t="array" ref="A184">IFERROR(INDEX(tblunits[unitname],SMALL(IF((tblunits[nation]=$B$23)*(tblunits[division]=#REF!)*(tblunits[squadtype]=#REF!),ROW(tblunits[unitname])-MIN(ROW(tblunits[unitname]))+1),ROWS($A$83:A184))),"")</f>
        <v/>
      </c>
    </row>
    <row r="185" spans="1:1" x14ac:dyDescent="0.35">
      <c r="A185" s="2" t="str">
        <f t="array" ref="A185">IFERROR(INDEX(tblunits[unitname],SMALL(IF((tblunits[nation]=$B$23)*(tblunits[division]=#REF!)*(tblunits[squadtype]=#REF!),ROW(tblunits[unitname])-MIN(ROW(tblunits[unitname]))+1),ROWS($A$83:A185))),"")</f>
        <v/>
      </c>
    </row>
    <row r="186" spans="1:1" x14ac:dyDescent="0.35">
      <c r="A186" s="2" t="str">
        <f t="array" ref="A186">IFERROR(INDEX(tblunits[unitname],SMALL(IF((tblunits[nation]=$B$23)*(tblunits[division]=#REF!)*(tblunits[squadtype]=#REF!),ROW(tblunits[unitname])-MIN(ROW(tblunits[unitname]))+1),ROWS($A$83:A186))),"")</f>
        <v/>
      </c>
    </row>
    <row r="187" spans="1:1" x14ac:dyDescent="0.35">
      <c r="A187" s="2" t="str">
        <f t="array" ref="A187">IFERROR(INDEX(tblunits[unitname],SMALL(IF((tblunits[nation]=$B$23)*(tblunits[division]=#REF!)*(tblunits[squadtype]=#REF!),ROW(tblunits[unitname])-MIN(ROW(tblunits[unitname]))+1),ROWS($A$83:A187))),"")</f>
        <v/>
      </c>
    </row>
    <row r="188" spans="1:1" x14ac:dyDescent="0.35">
      <c r="A188" s="2" t="str">
        <f t="array" ref="A188">IFERROR(INDEX(tblunits[unitname],SMALL(IF((tblunits[nation]=$B$23)*(tblunits[division]=#REF!)*(tblunits[squadtype]=#REF!),ROW(tblunits[unitname])-MIN(ROW(tblunits[unitname]))+1),ROWS($A$83:A188))),"")</f>
        <v/>
      </c>
    </row>
    <row r="189" spans="1:1" x14ac:dyDescent="0.35">
      <c r="A189" s="2" t="str">
        <f t="array" ref="A189">IFERROR(INDEX(tblunits[unitname],SMALL(IF((tblunits[nation]=$B$23)*(tblunits[division]=#REF!)*(tblunits[squadtype]=#REF!),ROW(tblunits[unitname])-MIN(ROW(tblunits[unitname]))+1),ROWS($A$83:A189))),"")</f>
        <v/>
      </c>
    </row>
    <row r="190" spans="1:1" x14ac:dyDescent="0.35">
      <c r="A190" s="2" t="str">
        <f t="array" ref="A190">IFERROR(INDEX(tblunits[unitname],SMALL(IF((tblunits[nation]=$B$23)*(tblunits[division]=#REF!)*(tblunits[squadtype]=#REF!),ROW(tblunits[unitname])-MIN(ROW(tblunits[unitname]))+1),ROWS($A$83:A190))),"")</f>
        <v/>
      </c>
    </row>
    <row r="191" spans="1:1" x14ac:dyDescent="0.35">
      <c r="A191" s="2" t="str">
        <f t="array" ref="A191">IFERROR(INDEX(tblunits[unitname],SMALL(IF((tblunits[nation]=$B$23)*(tblunits[division]=#REF!)*(tblunits[squadtype]=#REF!),ROW(tblunits[unitname])-MIN(ROW(tblunits[unitname]))+1),ROWS($A$83:A191))),"")</f>
        <v/>
      </c>
    </row>
    <row r="192" spans="1:1" x14ac:dyDescent="0.35">
      <c r="A192" s="2" t="str">
        <f t="array" ref="A192">IFERROR(INDEX(tblunits[unitname],SMALL(IF((tblunits[nation]=$B$23)*(tblunits[division]=#REF!)*(tblunits[squadtype]=#REF!),ROW(tblunits[unitname])-MIN(ROW(tblunits[unitname]))+1),ROWS($A$83:A192))),"")</f>
        <v/>
      </c>
    </row>
    <row r="193" spans="1:1" x14ac:dyDescent="0.35">
      <c r="A193" s="2" t="str">
        <f t="array" ref="A193">IFERROR(INDEX(tblunits[unitname],SMALL(IF((tblunits[nation]=$B$23)*(tblunits[division]=#REF!)*(tblunits[squadtype]=#REF!),ROW(tblunits[unitname])-MIN(ROW(tblunits[unitname]))+1),ROWS($A$83:A193))),"")</f>
        <v/>
      </c>
    </row>
    <row r="194" spans="1:1" x14ac:dyDescent="0.35">
      <c r="A194" s="2" t="str">
        <f t="array" ref="A194">IFERROR(INDEX(tblunits[unitname],SMALL(IF((tblunits[nation]=$B$23)*(tblunits[division]=#REF!)*(tblunits[squadtype]=#REF!),ROW(tblunits[unitname])-MIN(ROW(tblunits[unitname]))+1),ROWS($A$83:A194))),"")</f>
        <v/>
      </c>
    </row>
    <row r="195" spans="1:1" x14ac:dyDescent="0.35">
      <c r="A195" s="2" t="str">
        <f t="array" ref="A195">IFERROR(INDEX(tblunits[unitname],SMALL(IF((tblunits[nation]=$B$23)*(tblunits[division]=#REF!)*(tblunits[squadtype]=#REF!),ROW(tblunits[unitname])-MIN(ROW(tblunits[unitname]))+1),ROWS($A$83:A195))),"")</f>
        <v/>
      </c>
    </row>
    <row r="196" spans="1:1" x14ac:dyDescent="0.35">
      <c r="A196" s="2" t="str">
        <f t="array" ref="A196">IFERROR(INDEX(tblunits[unitname],SMALL(IF((tblunits[nation]=$B$23)*(tblunits[division]=#REF!)*(tblunits[squadtype]=#REF!),ROW(tblunits[unitname])-MIN(ROW(tblunits[unitname]))+1),ROWS($A$83:A196))),"")</f>
        <v/>
      </c>
    </row>
    <row r="197" spans="1:1" x14ac:dyDescent="0.35">
      <c r="A197" s="2" t="str">
        <f t="array" ref="A197">IFERROR(INDEX(tblunits[unitname],SMALL(IF((tblunits[nation]=$B$23)*(tblunits[division]=#REF!)*(tblunits[squadtype]=#REF!),ROW(tblunits[unitname])-MIN(ROW(tblunits[unitname]))+1),ROWS($A$83:A197))),"")</f>
        <v/>
      </c>
    </row>
    <row r="198" spans="1:1" x14ac:dyDescent="0.35">
      <c r="A198" s="2" t="str">
        <f t="array" ref="A198">IFERROR(INDEX(tblunits[unitname],SMALL(IF((tblunits[nation]=$B$23)*(tblunits[division]=#REF!)*(tblunits[squadtype]=#REF!),ROW(tblunits[unitname])-MIN(ROW(tblunits[unitname]))+1),ROWS($A$83:A198))),"")</f>
        <v/>
      </c>
    </row>
    <row r="199" spans="1:1" x14ac:dyDescent="0.35">
      <c r="A199" s="2" t="str">
        <f t="array" ref="A199">IFERROR(INDEX(tblunits[unitname],SMALL(IF((tblunits[nation]=$B$23)*(tblunits[division]=#REF!)*(tblunits[squadtype]=#REF!),ROW(tblunits[unitname])-MIN(ROW(tblunits[unitname]))+1),ROWS($A$83:A199))),"")</f>
        <v/>
      </c>
    </row>
    <row r="200" spans="1:1" x14ac:dyDescent="0.35">
      <c r="A200" s="2" t="str">
        <f t="array" ref="A200">IFERROR(INDEX(tblunits[unitname],SMALL(IF((tblunits[nation]=$B$23)*(tblunits[division]=#REF!)*(tblunits[squadtype]=#REF!),ROW(tblunits[unitname])-MIN(ROW(tblunits[unitname]))+1),ROWS($A$83:A200))),"")</f>
        <v/>
      </c>
    </row>
    <row r="201" spans="1:1" x14ac:dyDescent="0.35">
      <c r="A201" s="2" t="str">
        <f t="array" ref="A201">IFERROR(INDEX(tblunits[unitname],SMALL(IF((tblunits[nation]=$B$23)*(tblunits[division]=#REF!)*(tblunits[squadtype]=#REF!),ROW(tblunits[unitname])-MIN(ROW(tblunits[unitname]))+1),ROWS($A$83:A201))),"")</f>
        <v/>
      </c>
    </row>
    <row r="202" spans="1:1" x14ac:dyDescent="0.35">
      <c r="A202" s="2" t="str">
        <f t="array" ref="A202">IFERROR(INDEX(tblunits[unitname],SMALL(IF((tblunits[nation]=$B$23)*(tblunits[division]=#REF!)*(tblunits[squadtype]=#REF!),ROW(tblunits[unitname])-MIN(ROW(tblunits[unitname]))+1),ROWS($A$83:A202))),"")</f>
        <v/>
      </c>
    </row>
    <row r="203" spans="1:1" x14ac:dyDescent="0.35">
      <c r="A203" s="2" t="str">
        <f t="array" ref="A203">IFERROR(INDEX(tblunits[unitname],SMALL(IF((tblunits[nation]=$B$23)*(tblunits[division]=#REF!)*(tblunits[squadtype]=#REF!),ROW(tblunits[unitname])-MIN(ROW(tblunits[unitname]))+1),ROWS($A$83:A203))),"")</f>
        <v/>
      </c>
    </row>
    <row r="204" spans="1:1" x14ac:dyDescent="0.35">
      <c r="A204" s="2" t="str">
        <f t="array" ref="A204">IFERROR(INDEX(tblunits[unitname],SMALL(IF((tblunits[nation]=$B$23)*(tblunits[division]=#REF!)*(tblunits[squadtype]=#REF!),ROW(tblunits[unitname])-MIN(ROW(tblunits[unitname]))+1),ROWS($A$83:A204))),"")</f>
        <v/>
      </c>
    </row>
    <row r="205" spans="1:1" x14ac:dyDescent="0.35">
      <c r="A205" s="2" t="str">
        <f t="array" ref="A205">IFERROR(INDEX(tblunits[unitname],SMALL(IF((tblunits[nation]=$B$23)*(tblunits[division]=#REF!)*(tblunits[squadtype]=#REF!),ROW(tblunits[unitname])-MIN(ROW(tblunits[unitname]))+1),ROWS($A$83:A205))),"")</f>
        <v/>
      </c>
    </row>
    <row r="206" spans="1:1" x14ac:dyDescent="0.35">
      <c r="A206" s="2" t="str">
        <f t="array" ref="A206">IFERROR(INDEX(tblunits[unitname],SMALL(IF((tblunits[nation]=$B$23)*(tblunits[division]=#REF!)*(tblunits[squadtype]=#REF!),ROW(tblunits[unitname])-MIN(ROW(tblunits[unitname]))+1),ROWS($A$83:A206))),"")</f>
        <v/>
      </c>
    </row>
    <row r="207" spans="1:1" x14ac:dyDescent="0.35">
      <c r="A207" s="2" t="str">
        <f t="array" ref="A207">IFERROR(INDEX(tblunits[unitname],SMALL(IF((tblunits[nation]=$B$23)*(tblunits[division]=#REF!)*(tblunits[squadtype]=#REF!),ROW(tblunits[unitname])-MIN(ROW(tblunits[unitname]))+1),ROWS($A$83:A207))),"")</f>
        <v/>
      </c>
    </row>
    <row r="208" spans="1:1" x14ac:dyDescent="0.35">
      <c r="A208" s="2" t="str">
        <f t="array" ref="A208">IFERROR(INDEX(tblunits[unitname],SMALL(IF((tblunits[nation]=$B$23)*(tblunits[division]=#REF!)*(tblunits[squadtype]=#REF!),ROW(tblunits[unitname])-MIN(ROW(tblunits[unitname]))+1),ROWS($A$83:A208))),"")</f>
        <v/>
      </c>
    </row>
    <row r="209" spans="1:1" x14ac:dyDescent="0.35">
      <c r="A209" s="2" t="str">
        <f t="array" ref="A209">IFERROR(INDEX(tblunits[unitname],SMALL(IF((tblunits[nation]=$B$23)*(tblunits[division]=#REF!)*(tblunits[squadtype]=#REF!),ROW(tblunits[unitname])-MIN(ROW(tblunits[unitname]))+1),ROWS($A$83:A209))),"")</f>
        <v/>
      </c>
    </row>
    <row r="210" spans="1:1" x14ac:dyDescent="0.35">
      <c r="A210" s="2" t="str">
        <f t="array" ref="A210">IFERROR(INDEX(tblunits[unitname],SMALL(IF((tblunits[nation]=$B$23)*(tblunits[division]=#REF!)*(tblunits[squadtype]=#REF!),ROW(tblunits[unitname])-MIN(ROW(tblunits[unitname]))+1),ROWS($A$83:A210))),"")</f>
        <v/>
      </c>
    </row>
    <row r="211" spans="1:1" x14ac:dyDescent="0.35">
      <c r="A211" s="2" t="str">
        <f t="array" ref="A211">IFERROR(INDEX(tblunits[unitname],SMALL(IF((tblunits[nation]=$B$23)*(tblunits[division]=#REF!)*(tblunits[squadtype]=#REF!),ROW(tblunits[unitname])-MIN(ROW(tblunits[unitname]))+1),ROWS($A$83:A211))),"")</f>
        <v/>
      </c>
    </row>
    <row r="212" spans="1:1" x14ac:dyDescent="0.35">
      <c r="A212" s="2" t="str">
        <f t="array" ref="A212">IFERROR(INDEX(tblunits[unitname],SMALL(IF((tblunits[nation]=$B$23)*(tblunits[division]=#REF!)*(tblunits[squadtype]=#REF!),ROW(tblunits[unitname])-MIN(ROW(tblunits[unitname]))+1),ROWS($A$83:A212))),"")</f>
        <v/>
      </c>
    </row>
    <row r="213" spans="1:1" x14ac:dyDescent="0.35">
      <c r="A213" s="2" t="str">
        <f t="array" ref="A213">IFERROR(INDEX(tblunits[unitname],SMALL(IF((tblunits[nation]=$B$23)*(tblunits[division]=#REF!)*(tblunits[squadtype]=#REF!),ROW(tblunits[unitname])-MIN(ROW(tblunits[unitname]))+1),ROWS($A$83:A213))),"")</f>
        <v/>
      </c>
    </row>
    <row r="214" spans="1:1" x14ac:dyDescent="0.35">
      <c r="A214" s="2" t="str">
        <f t="array" ref="A214">IFERROR(INDEX(tblunits[unitname],SMALL(IF((tblunits[nation]=$B$23)*(tblunits[division]=#REF!)*(tblunits[squadtype]=#REF!),ROW(tblunits[unitname])-MIN(ROW(tblunits[unitname]))+1),ROWS($A$83:A214))),"")</f>
        <v/>
      </c>
    </row>
    <row r="215" spans="1:1" x14ac:dyDescent="0.35">
      <c r="A215" s="2" t="str">
        <f t="array" ref="A215">IFERROR(INDEX(tblunits[unitname],SMALL(IF((tblunits[nation]=$B$23)*(tblunits[division]=#REF!)*(tblunits[squadtype]=#REF!),ROW(tblunits[unitname])-MIN(ROW(tblunits[unitname]))+1),ROWS($A$83:A215))),"")</f>
        <v/>
      </c>
    </row>
    <row r="216" spans="1:1" x14ac:dyDescent="0.35">
      <c r="A216" s="2" t="str">
        <f t="array" ref="A216">IFERROR(INDEX(tblunits[unitname],SMALL(IF((tblunits[nation]=$B$23)*(tblunits[division]=#REF!)*(tblunits[squadtype]=#REF!),ROW(tblunits[unitname])-MIN(ROW(tblunits[unitname]))+1),ROWS($A$83:A216))),"")</f>
        <v/>
      </c>
    </row>
    <row r="217" spans="1:1" x14ac:dyDescent="0.35">
      <c r="A217" s="2" t="str">
        <f t="array" ref="A217">IFERROR(INDEX(tblunits[unitname],SMALL(IF((tblunits[nation]=$B$23)*(tblunits[division]=#REF!)*(tblunits[squadtype]=#REF!),ROW(tblunits[unitname])-MIN(ROW(tblunits[unitname]))+1),ROWS($A$83:A217))),"")</f>
        <v/>
      </c>
    </row>
    <row r="218" spans="1:1" x14ac:dyDescent="0.35">
      <c r="A218" s="2" t="str">
        <f t="array" ref="A218">IFERROR(INDEX(tblunits[unitname],SMALL(IF((tblunits[nation]=$B$23)*(tblunits[division]=#REF!)*(tblunits[squadtype]=#REF!),ROW(tblunits[unitname])-MIN(ROW(tblunits[unitname]))+1),ROWS($A$83:A218))),"")</f>
        <v/>
      </c>
    </row>
    <row r="219" spans="1:1" x14ac:dyDescent="0.35">
      <c r="A219" s="2" t="str">
        <f t="array" ref="A219">IFERROR(INDEX(tblunits[unitname],SMALL(IF((tblunits[nation]=$B$23)*(tblunits[division]=#REF!)*(tblunits[squadtype]=#REF!),ROW(tblunits[unitname])-MIN(ROW(tblunits[unitname]))+1),ROWS($A$83:A219))),"")</f>
        <v/>
      </c>
    </row>
    <row r="220" spans="1:1" x14ac:dyDescent="0.35">
      <c r="A220" s="2" t="str">
        <f t="array" ref="A220">IFERROR(INDEX(tblunits[unitname],SMALL(IF((tblunits[nation]=$B$23)*(tblunits[division]=#REF!)*(tblunits[squadtype]=#REF!),ROW(tblunits[unitname])-MIN(ROW(tblunits[unitname]))+1),ROWS($A$83:A220))),"")</f>
        <v/>
      </c>
    </row>
    <row r="221" spans="1:1" x14ac:dyDescent="0.35">
      <c r="A221" s="2" t="str">
        <f t="array" ref="A221">IFERROR(INDEX(tblunits[unitname],SMALL(IF((tblunits[nation]=$B$23)*(tblunits[division]=#REF!)*(tblunits[squadtype]=#REF!),ROW(tblunits[unitname])-MIN(ROW(tblunits[unitname]))+1),ROWS($A$83:A221))),"")</f>
        <v/>
      </c>
    </row>
    <row r="222" spans="1:1" x14ac:dyDescent="0.35">
      <c r="A222" s="2" t="str">
        <f t="array" ref="A222">IFERROR(INDEX(tblunits[unitname],SMALL(IF((tblunits[nation]=$B$23)*(tblunits[division]=#REF!)*(tblunits[squadtype]=#REF!),ROW(tblunits[unitname])-MIN(ROW(tblunits[unitname]))+1),ROWS($A$83:A222))),"")</f>
        <v/>
      </c>
    </row>
  </sheetData>
  <mergeCells count="5">
    <mergeCell ref="C23:C27"/>
    <mergeCell ref="A26:A28"/>
    <mergeCell ref="A29:A31"/>
    <mergeCell ref="A32:A34"/>
    <mergeCell ref="A35:A37"/>
  </mergeCells>
  <conditionalFormatting sqref="E36">
    <cfRule type="expression" dxfId="274" priority="41">
      <formula>IF($E$36&lt;$A$16,FALSE,IF($E$36&lt;$A$16*$B$15,TRUE,FALSE))</formula>
    </cfRule>
    <cfRule type="cellIs" dxfId="273" priority="42" operator="greaterThan">
      <formula>$A$16*$B$15</formula>
    </cfRule>
    <cfRule type="cellIs" dxfId="272" priority="43" operator="lessThan">
      <formula>$A$16</formula>
    </cfRule>
  </conditionalFormatting>
  <dataValidations count="1">
    <dataValidation type="list" allowBlank="1" showInputMessage="1" showErrorMessage="1" sqref="D20">
      <formula1>"standard_squad,Asset_Squad,feildgun_squad,special_forces_1,special_forces_2,special_forces_3"</formula1>
    </dataValidation>
  </dataValidations>
  <pageMargins left="3.937007874015748E-2" right="0" top="3.937007874015748E-2" bottom="0" header="0" footer="0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cleartanksarmouronly">
                <anchor moveWithCells="1" sizeWithCells="1">
                  <from>
                    <xdr:col>3</xdr:col>
                    <xdr:colOff>63500</xdr:colOff>
                    <xdr:row>21</xdr:row>
                    <xdr:rowOff>6350</xdr:rowOff>
                  </from>
                  <to>
                    <xdr:col>3</xdr:col>
                    <xdr:colOff>1447800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5" name="Button 4">
              <controlPr defaultSize="0" print="0" autoFill="0" autoPict="0" macro="[0]!validatearmyandsendtosetup">
                <anchor moveWithCells="1" sizeWithCells="1">
                  <from>
                    <xdr:col>0</xdr:col>
                    <xdr:colOff>0</xdr:colOff>
                    <xdr:row>18</xdr:row>
                    <xdr:rowOff>177800</xdr:rowOff>
                  </from>
                  <to>
                    <xdr:col>0</xdr:col>
                    <xdr:colOff>1873250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6" name="Button 5">
              <controlPr defaultSize="0" print="0" autoFill="0" autoPict="0" macro="[0]!cleardefencesarmouronly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INDIRECT(SUBSTITUTE(setup!$B$5 &amp; setup!$B$7 &amp; $D$4," ",""))</xm:f>
          </x14:formula1>
          <xm:sqref>D5:D19</xm:sqref>
        </x14:dataValidation>
        <x14:dataValidation type="list" allowBlank="1" showInputMessage="1" showErrorMessage="1">
          <x14:formula1>
            <xm:f>'unit calc'!$L$39:$L$41</xm:f>
          </x14:formula1>
          <xm:sqref>A13</xm:sqref>
        </x14:dataValidation>
        <x14:dataValidation type="list" allowBlank="1" showInputMessage="1" showErrorMessage="1">
          <x14:formula1>
            <xm:f>INDIRECT(SUBSTITUTE(setup!$B$5 &amp; setup!$B$7 &amp; $D$1," ",""))</xm:f>
          </x14:formula1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N222"/>
  <sheetViews>
    <sheetView zoomScale="60" zoomScaleNormal="60" workbookViewId="0">
      <selection activeCell="A10" sqref="A10"/>
    </sheetView>
  </sheetViews>
  <sheetFormatPr defaultRowHeight="14.5" x14ac:dyDescent="0.35"/>
  <cols>
    <col min="1" max="1" width="27.08984375" customWidth="1"/>
    <col min="2" max="2" width="2.1796875" customWidth="1"/>
    <col min="3" max="3" width="17.1796875" customWidth="1"/>
    <col min="4" max="4" width="23" bestFit="1" customWidth="1"/>
    <col min="5" max="5" width="23.1796875" bestFit="1" customWidth="1"/>
    <col min="6" max="6" width="9.7265625" bestFit="1" customWidth="1"/>
    <col min="7" max="7" width="51.453125" customWidth="1"/>
    <col min="8" max="8" width="3" customWidth="1"/>
    <col min="9" max="9" width="19.90625" customWidth="1"/>
    <col min="10" max="10" width="8.453125" customWidth="1"/>
    <col min="11" max="11" width="2.453125" customWidth="1"/>
    <col min="12" max="12" width="10.54296875" customWidth="1"/>
  </cols>
  <sheetData>
    <row r="1" spans="1:7" ht="15" thickBot="1" x14ac:dyDescent="0.4">
      <c r="A1">
        <f>setup!B2</f>
        <v>0</v>
      </c>
      <c r="D1" s="18" t="s">
        <v>69</v>
      </c>
      <c r="E1" s="1" t="s">
        <v>28</v>
      </c>
      <c r="F1" s="18" t="s">
        <v>0</v>
      </c>
      <c r="G1" s="1" t="s">
        <v>1</v>
      </c>
    </row>
    <row r="2" spans="1:7" ht="15.5" thickTop="1" thickBot="1" x14ac:dyDescent="0.4">
      <c r="A2">
        <f>setup!B3</f>
        <v>0</v>
      </c>
      <c r="C2" s="223" t="s">
        <v>547</v>
      </c>
      <c r="D2" s="277" t="s">
        <v>368</v>
      </c>
      <c r="E2" s="291"/>
      <c r="F2" s="224">
        <f>IF(ISBLANK(E2),0,IF(D2='divs nats data base'!G$2,VLOOKUP(E2,standardsquads[#All],setup!C$9+1,FALSE),IF(D2='divs nats data base'!G$3,VLOOKUP(E2,assetsquads[#All],setup!C$9+1,FALSE),IF(D2='divs nats data base'!G$4,VLOOKUP(E2,feildgunsquads[#All],setup!C$9+1,FALSE),IF(D2='divs nats data base'!G$5,VLOOKUP(E2,built_SF[#All],setup!$C$9+1,FALSE),IF(D2='divs nats data base'!G$6,VLOOKUP(E2,built_SF[#All],setup!$C$9+1,FALSE),IF(D2='divs nats data base'!G$7,VLOOKUP(E2,built_SF[#All],setup!$C$9+1,FALSE))))))))</f>
        <v>0</v>
      </c>
      <c r="G2" s="225" t="str">
        <f ca="1">SUBSTITUTE(
IF(D2='divs nats data base'!G$2,VLOOKUP(E2,standardsquads[#All],3,FALSE),
IF(D2='divs nats data base'!G$3,VLOOKUP(E2,assetsquads[#All],3,FALSE),
IF(D2='divs nats data base'!G$4,VLOOKUP(E2,feildgunsquads[#All],3,FALSE),
IF(D2='divs nats data base'!G$5,VLOOKUP(E2,built_SF[#All],3,FALSE),IF(D2='divs nats data base'!G$6,VLOOKUP(E2,built_SF[#All],3,FALSE),IF(D2='divs nats data base'!G$7,VLOOKUP(E2,built_SF[#All],3,FALSE),"")))))),
"SL","BGC")</f>
        <v>0</v>
      </c>
    </row>
    <row r="3" spans="1:7" ht="15" thickBot="1" x14ac:dyDescent="0.4">
      <c r="A3" t="str">
        <f>setup!B5</f>
        <v>USA</v>
      </c>
      <c r="C3" s="76" t="s">
        <v>535</v>
      </c>
      <c r="D3" s="13"/>
      <c r="E3" s="69"/>
      <c r="F3" s="72">
        <f>IF(ISBLANK(E3),0,VLOOKUP(E3,upgrades[#All],setup!C$9+1,FALSE))</f>
        <v>0</v>
      </c>
      <c r="G3" s="105">
        <f ca="1">VLOOKUP(E3,upgrades[#All],2,FALSE)</f>
        <v>0</v>
      </c>
    </row>
    <row r="4" spans="1:7" ht="15" thickBot="1" x14ac:dyDescent="0.4">
      <c r="A4" t="str">
        <f>setup!B7</f>
        <v>infantry</v>
      </c>
      <c r="C4" s="76" t="s">
        <v>49</v>
      </c>
      <c r="D4" s="203" t="s">
        <v>504</v>
      </c>
      <c r="E4" s="68"/>
      <c r="F4" s="72">
        <f>IF(ISBLANK(E4),0,IF(D4='divs nats data base'!I$3,VLOOKUP(E4,feildgunassets[#All],setup!C$9+1,FALSE),VLOOKUP(E4,assetteams[#All],setup!C$9+1,FALSE)))</f>
        <v>0</v>
      </c>
      <c r="G4" s="105">
        <f ca="1">IF(D4='divs nats data base'!I2,VLOOKUP(E4,assetteams[#All],3,FALSE),VLOOKUP(E4,feildgunassets[#All],3,FALSE))</f>
        <v>0</v>
      </c>
    </row>
    <row r="5" spans="1:7" ht="15" thickBot="1" x14ac:dyDescent="0.4">
      <c r="A5" t="str">
        <f>setup!B9</f>
        <v>trained</v>
      </c>
      <c r="C5" s="76" t="s">
        <v>50</v>
      </c>
      <c r="D5" s="13"/>
      <c r="E5" s="234"/>
      <c r="F5" s="72">
        <f>IF(ISBLANK(E5),0,VLOOKUP(E5,uncrewedvehicles[#All],setup!C$9+1,FALSE))</f>
        <v>0</v>
      </c>
      <c r="G5" s="105">
        <f ca="1">VLOOKUP(E5,uncrewedvehicles[],3,FALSE)</f>
        <v>0</v>
      </c>
    </row>
    <row r="6" spans="1:7" ht="15" thickBot="1" x14ac:dyDescent="0.4">
      <c r="A6" s="1" t="s">
        <v>391</v>
      </c>
      <c r="C6" s="226"/>
      <c r="D6" s="226"/>
      <c r="E6" s="227" t="s">
        <v>10</v>
      </c>
      <c r="F6" s="228">
        <f>SUM(F2:F5)</f>
        <v>0</v>
      </c>
      <c r="G6" s="229"/>
    </row>
    <row r="7" spans="1:7" ht="15.5" thickTop="1" thickBot="1" x14ac:dyDescent="0.4">
      <c r="A7" s="139"/>
      <c r="C7" s="220" t="s">
        <v>90</v>
      </c>
      <c r="D7" s="221" t="s">
        <v>368</v>
      </c>
      <c r="E7" s="222"/>
      <c r="F7" s="72">
        <f>IF(ISBLANK(E7),0,IF(D7='divs nats data base'!G$2,VLOOKUP(E7,standardsquads[#All],setup!C$9+1,FALSE),IF(D7='divs nats data base'!G$3,VLOOKUP(E7,assetsquads[#All],setup!C$9+1,FALSE),IF(D7='divs nats data base'!G$4,VLOOKUP(E7,feildgunsquads[#All],setup!C$9+1,FALSE),IF(D7='divs nats data base'!G$5,VLOOKUP(E7,built_SF[#All],setup!$C$9+1,FALSE),IF(D7='divs nats data base'!G$6,VLOOKUP(E7,built_SF[#All],setup!$C$9+1,FALSE),IF(D7='divs nats data base'!G$7,VLOOKUP(E7,built_SF[#All],setup!$C$9+1,FALSE))))))))</f>
        <v>0</v>
      </c>
      <c r="G7" s="105">
        <f ca="1">IF(D7='divs nats data base'!G$2,VLOOKUP(E7,standardsquads[#All],3,FALSE),IF(D7='divs nats data base'!G$3,VLOOKUP(E7,assetsquads[#All],3,FALSE),IF(D7='divs nats data base'!G$4,VLOOKUP(E7,feildgunsquads[#All],3,FALSE),IF(D7='divs nats data base'!G$5,VLOOKUP(E7,built_SF[#All],3,FALSE),IF(D7='divs nats data base'!G$6,VLOOKUP(E7,built_SF[#All],3,FALSE),IF(D7='divs nats data base'!G$7,VLOOKUP(E7,built_SF[#All],3,FALSE)))))))</f>
        <v>0</v>
      </c>
    </row>
    <row r="8" spans="1:7" ht="15" thickBot="1" x14ac:dyDescent="0.4">
      <c r="A8" s="59"/>
      <c r="C8" s="76" t="s">
        <v>535</v>
      </c>
      <c r="D8" s="13"/>
      <c r="E8" s="69"/>
      <c r="F8" s="72">
        <f>IF(ISBLANK(E8),0,VLOOKUP(E8,upgrades[#All],setup!C$9+1,FALSE))</f>
        <v>0</v>
      </c>
      <c r="G8" s="105">
        <f ca="1">VLOOKUP(E8,upgrades[#All],2,FALSE)</f>
        <v>0</v>
      </c>
    </row>
    <row r="9" spans="1:7" ht="15" thickBot="1" x14ac:dyDescent="0.4">
      <c r="A9" s="1" t="s">
        <v>112</v>
      </c>
      <c r="C9" s="76" t="s">
        <v>49</v>
      </c>
      <c r="D9" s="203" t="s">
        <v>504</v>
      </c>
      <c r="E9" s="68"/>
      <c r="F9" s="72">
        <f>IF(ISBLANK(E9),0,IF(D9='divs nats data base'!I$3,VLOOKUP(E9,feildgunassets[#All],setup!C$9+1,FALSE),VLOOKUP(E9,assetteams[#All],setup!C$9+1,FALSE)))</f>
        <v>0</v>
      </c>
      <c r="G9" s="105">
        <f ca="1">IF(D9='divs nats data base'!I2,VLOOKUP(E9,assetteams[#All],3,FALSE),VLOOKUP(E9,feildgunassets[#All],3,FALSE))</f>
        <v>0</v>
      </c>
    </row>
    <row r="10" spans="1:7" ht="15" thickBot="1" x14ac:dyDescent="0.4">
      <c r="A10" s="139"/>
      <c r="C10" s="76" t="s">
        <v>50</v>
      </c>
      <c r="E10" s="234"/>
      <c r="F10" s="72">
        <f>IF(ISBLANK(E10),0,VLOOKUP(E10,uncrewedvehicles[#All],setup!C$9+1,FALSE))</f>
        <v>0</v>
      </c>
      <c r="G10" s="105">
        <f ca="1">VLOOKUP(E10,uncrewedvehicles[],3,FALSE)</f>
        <v>0</v>
      </c>
    </row>
    <row r="11" spans="1:7" ht="15" thickBot="1" x14ac:dyDescent="0.4">
      <c r="A11" s="1"/>
      <c r="C11" s="76"/>
      <c r="D11" s="76"/>
      <c r="E11" s="230" t="s">
        <v>10</v>
      </c>
      <c r="F11" s="231">
        <f>SUM(F7:F10)</f>
        <v>0</v>
      </c>
      <c r="G11" s="105"/>
    </row>
    <row r="12" spans="1:7" ht="15.5" thickTop="1" thickBot="1" x14ac:dyDescent="0.4">
      <c r="A12" s="18" t="s">
        <v>108</v>
      </c>
      <c r="B12" t="str">
        <f>IF(A13="attack",1.25,"1")</f>
        <v>1</v>
      </c>
      <c r="C12" s="223" t="s">
        <v>91</v>
      </c>
      <c r="D12" s="232" t="s">
        <v>368</v>
      </c>
      <c r="E12" s="233"/>
      <c r="F12" s="224">
        <f>IF(ISBLANK(E12),0,IF(D12='divs nats data base'!G$2,VLOOKUP(E12,standardsquads[#All],setup!C$9+1,FALSE),IF(D12='divs nats data base'!G$3,VLOOKUP(E12,assetsquads[#All],setup!C$9+1,FALSE),IF(D12='divs nats data base'!G$4,VLOOKUP(E12,feildgunsquads[#All],setup!C$9+1,FALSE),IF(D12='divs nats data base'!G$5,VLOOKUP(E12,built_SF[#All],setup!$C$9+1,FALSE),IF(D12='divs nats data base'!G$6,VLOOKUP(E12,built_SF[#All],setup!$C$9+1,FALSE),IF(D12='divs nats data base'!G$7,VLOOKUP(E12,built_SF[#All],setup!$C$9+1,FALSE))))))))</f>
        <v>0</v>
      </c>
      <c r="G12" s="225">
        <f ca="1">IF(D12='divs nats data base'!G$2,VLOOKUP(E12,standardsquads[#All],3,FALSE),IF(D12='divs nats data base'!G$3,VLOOKUP(E12,assetsquads[#All],3,FALSE),IF(D12='divs nats data base'!G$4,VLOOKUP(E12,feildgunsquads[#All],3,FALSE),IF(D12='divs nats data base'!G$5,VLOOKUP(E12,built_SF[#All],3,FALSE),IF(D12='divs nats data base'!G$6,VLOOKUP(E12,built_SF[#All],3,FALSE),IF(D12='divs nats data base'!G$7,VLOOKUP(E12,built_SF[#All],3,FALSE)))))))</f>
        <v>0</v>
      </c>
    </row>
    <row r="13" spans="1:7" ht="15" thickBot="1" x14ac:dyDescent="0.4">
      <c r="A13" s="66" t="s">
        <v>19</v>
      </c>
      <c r="C13" s="76" t="s">
        <v>535</v>
      </c>
      <c r="D13" s="13"/>
      <c r="E13" s="69"/>
      <c r="F13" s="72">
        <f>IF(ISBLANK(E13),0,VLOOKUP(E13,upgrades[#All],setup!C$9+1,FALSE))</f>
        <v>0</v>
      </c>
      <c r="G13" s="105">
        <f ca="1">VLOOKUP(E13,upgrades[#All],2,FALSE)</f>
        <v>0</v>
      </c>
    </row>
    <row r="14" spans="1:7" ht="15" thickBot="1" x14ac:dyDescent="0.4">
      <c r="C14" s="76" t="s">
        <v>49</v>
      </c>
      <c r="D14" s="203" t="s">
        <v>504</v>
      </c>
      <c r="E14" s="68"/>
      <c r="F14" s="72">
        <f>IF(ISBLANK(E14),0,IF(D14='divs nats data base'!I$3,VLOOKUP(E14,feildgunassets[#All],setup!C$9+1,FALSE),VLOOKUP(E14,assetteams[#All],setup!C$9+1,FALSE)))</f>
        <v>0</v>
      </c>
      <c r="G14" s="105">
        <f ca="1">IF(D14='divs nats data base'!I2,VLOOKUP(E14,assetteams[#All],3,FALSE),VLOOKUP(E14,feildgunassets[#All],3,FALSE))</f>
        <v>0</v>
      </c>
    </row>
    <row r="15" spans="1:7" ht="15" thickBot="1" x14ac:dyDescent="0.4">
      <c r="A15" s="1" t="s">
        <v>109</v>
      </c>
      <c r="B15">
        <v>1.0109999999999999</v>
      </c>
      <c r="C15" s="76" t="s">
        <v>50</v>
      </c>
      <c r="D15" s="13"/>
      <c r="E15" s="234"/>
      <c r="F15" s="72">
        <f>IF(ISBLANK(E15),0,VLOOKUP(E15,uncrewedvehicles[#All],setup!C$9+1,FALSE))</f>
        <v>0</v>
      </c>
      <c r="G15" s="105">
        <f ca="1">VLOOKUP(E15,uncrewedvehicles[],3,FALSE)</f>
        <v>0</v>
      </c>
    </row>
    <row r="16" spans="1:7" ht="15" thickBot="1" x14ac:dyDescent="0.4">
      <c r="A16" s="8">
        <f>SUM(A10*B12)</f>
        <v>0</v>
      </c>
      <c r="C16" s="226"/>
      <c r="D16" s="226"/>
      <c r="E16" s="227" t="s">
        <v>10</v>
      </c>
      <c r="F16" s="228">
        <f>SUM(F12:F15)</f>
        <v>0</v>
      </c>
      <c r="G16" s="229"/>
    </row>
    <row r="17" spans="1:14" ht="15" thickBot="1" x14ac:dyDescent="0.4">
      <c r="C17" s="220" t="s">
        <v>92</v>
      </c>
      <c r="D17" s="221" t="s">
        <v>368</v>
      </c>
      <c r="E17" s="222"/>
      <c r="F17" s="72">
        <f>IF(ISBLANK(E17),0,IF(D17='divs nats data base'!G$2,VLOOKUP(E17,standardsquads[#All],setup!C$9+1,FALSE),IF(D17='divs nats data base'!G$3,VLOOKUP(E17,assetsquads[#All],setup!C$9+1,FALSE),IF(D17='divs nats data base'!G$4,VLOOKUP(E17,feildgunsquads[#All],setup!C$9+1,FALSE),IF(D17='divs nats data base'!G$5,VLOOKUP(E17,built_SF[#All],setup!$C$9+1,FALSE),IF(D17='divs nats data base'!G$6,VLOOKUP(E17,built_SF[#All],setup!$C$9+1,FALSE),IF(D17='divs nats data base'!G$7,VLOOKUP(E17,built_SF[#All],setup!$C$9+1,FALSE))))))))</f>
        <v>0</v>
      </c>
      <c r="G17" s="105">
        <f ca="1">IF(D17='divs nats data base'!G$2,VLOOKUP(E17,standardsquads[#All],3,FALSE),IF(D17='divs nats data base'!G$3,VLOOKUP(E17,assetsquads[#All],3,FALSE),IF(D17='divs nats data base'!G$4,VLOOKUP(E17,feildgunsquads[#All],3,FALSE),IF(D17='divs nats data base'!G$5,VLOOKUP(E17,built_SF[#All],3,FALSE),IF(D17='divs nats data base'!G$6,VLOOKUP(E17,built_SF[#All],3,FALSE),IF(D17='divs nats data base'!G$7,VLOOKUP(E17,built_SF[#All],3,FALSE)))))))</f>
        <v>0</v>
      </c>
    </row>
    <row r="18" spans="1:14" ht="15" thickBot="1" x14ac:dyDescent="0.4">
      <c r="A18" s="1" t="s">
        <v>107</v>
      </c>
      <c r="C18" s="76" t="s">
        <v>535</v>
      </c>
      <c r="D18" s="13"/>
      <c r="E18" s="69"/>
      <c r="F18" s="72">
        <f>IF(ISBLANK(E18),0,VLOOKUP(E18,upgrades[#All],setup!C$9+1,FALSE))</f>
        <v>0</v>
      </c>
      <c r="G18" s="105">
        <f ca="1">VLOOKUP(E18,upgrades[#All],2,FALSE)</f>
        <v>0</v>
      </c>
    </row>
    <row r="19" spans="1:14" ht="15" thickBot="1" x14ac:dyDescent="0.4">
      <c r="A19" t="str">
        <f>A1&amp;"."&amp;A2&amp;"."&amp;A3&amp;"."&amp;A4&amp;"."&amp;A5&amp;"."&amp;A7&amp;"."&amp;A10&amp;"."&amp;A13&amp;"."&amp;setup!B28&amp;""</f>
        <v>0.0.USA.infantry.trained...neutral.7.1.0</v>
      </c>
      <c r="B19">
        <v>1</v>
      </c>
      <c r="C19" s="76" t="s">
        <v>49</v>
      </c>
      <c r="D19" s="204" t="s">
        <v>504</v>
      </c>
      <c r="E19" s="68"/>
      <c r="F19" s="72">
        <f>IF(ISBLANK(E19),0,IF(D19='divs nats data base'!I$3,VLOOKUP(E19,feildgunassets[#All],setup!C$9+1,FALSE),VLOOKUP(E19,assetteams[#All],setup!C$9+1,FALSE)))</f>
        <v>0</v>
      </c>
      <c r="G19" s="105">
        <f ca="1">IF(D19='divs nats data base'!I2,VLOOKUP(E19,assetteams[#All],3,FALSE),VLOOKUP(E19,feildgunassets[#All],3,FALSE))</f>
        <v>0</v>
      </c>
    </row>
    <row r="20" spans="1:14" ht="15" thickBot="1" x14ac:dyDescent="0.4">
      <c r="C20" s="76" t="s">
        <v>50</v>
      </c>
      <c r="D20" s="13"/>
      <c r="E20" s="234"/>
      <c r="F20" s="72">
        <f>IF(ISBLANK(E20),0,VLOOKUP(E20,uncrewedvehicles[#All],setup!C$9+1,FALSE))</f>
        <v>0</v>
      </c>
      <c r="G20" s="105">
        <f ca="1">VLOOKUP(E20,uncrewedvehicles[],3,FALSE)</f>
        <v>0</v>
      </c>
    </row>
    <row r="21" spans="1:14" ht="15" thickBot="1" x14ac:dyDescent="0.4">
      <c r="B21" s="59"/>
      <c r="C21" s="76"/>
      <c r="D21" s="76"/>
      <c r="E21" s="230" t="s">
        <v>10</v>
      </c>
      <c r="F21" s="231">
        <f>SUM(F17:F20)</f>
        <v>0</v>
      </c>
      <c r="G21" s="105"/>
      <c r="H21" s="298" t="s">
        <v>241</v>
      </c>
    </row>
    <row r="22" spans="1:14" ht="15.5" thickTop="1" thickBot="1" x14ac:dyDescent="0.4">
      <c r="A22" s="59"/>
      <c r="B22" s="67"/>
      <c r="C22" s="223" t="s">
        <v>93</v>
      </c>
      <c r="D22" s="232" t="s">
        <v>368</v>
      </c>
      <c r="E22" s="233"/>
      <c r="F22" s="224">
        <f>IF(ISBLANK(E22),0,IF(D22='divs nats data base'!G$2,VLOOKUP(E22,standardsquads[#All],setup!C$9+1,FALSE),IF(D22='divs nats data base'!G$3,VLOOKUP(E22,assetsquads[#All],setup!C$9+1,FALSE),IF(D22='divs nats data base'!G$4,VLOOKUP(E22,feildgunsquads[#All],setup!C$9+1,FALSE),IF(D22='divs nats data base'!G$5,VLOOKUP(E22,built_SF[#All],setup!$C$9+1,FALSE),IF(D22='divs nats data base'!G$6,VLOOKUP(E22,built_SF[#All],setup!$C$9+1,FALSE),IF(D22='divs nats data base'!G$7,VLOOKUP(E22,built_SF[#All],setup!$C$9+1,FALSE))))))))</f>
        <v>0</v>
      </c>
      <c r="G22" s="225">
        <f ca="1">IF(D22='divs nats data base'!G$2,VLOOKUP(E22,standardsquads[#All],3,FALSE),IF(D22='divs nats data base'!G$3,VLOOKUP(E22,assetsquads[#All],3,FALSE),IF(D22='divs nats data base'!G$4,VLOOKUP(E22,feildgunsquads[#All],3,FALSE),IF(D22='divs nats data base'!G$5,VLOOKUP(E22,built_SF[#All],3,FALSE),IF(D22='divs nats data base'!G$6,VLOOKUP(E22,built_SF[#All],3,FALSE),IF(D22='divs nats data base'!G$7,VLOOKUP(E22,built_SF[#All],3,FALSE)))))))</f>
        <v>0</v>
      </c>
      <c r="H22" s="299"/>
    </row>
    <row r="23" spans="1:14" ht="19" thickBot="1" x14ac:dyDescent="0.5">
      <c r="A23" s="202"/>
      <c r="B23" s="59"/>
      <c r="C23" s="76" t="s">
        <v>535</v>
      </c>
      <c r="D23" s="13"/>
      <c r="E23" s="69"/>
      <c r="F23" s="72">
        <f>IF(ISBLANK(E23),0,VLOOKUP(E23,upgrades[#All],setup!C$9+1,FALSE))</f>
        <v>0</v>
      </c>
      <c r="G23" s="105">
        <f ca="1">VLOOKUP(E23,upgrades[#All],2,FALSE)</f>
        <v>0</v>
      </c>
      <c r="H23" s="299"/>
    </row>
    <row r="24" spans="1:14" ht="15" thickBot="1" x14ac:dyDescent="0.4">
      <c r="A24" s="67"/>
      <c r="B24" s="59"/>
      <c r="C24" s="76" t="s">
        <v>49</v>
      </c>
      <c r="D24" s="203" t="s">
        <v>504</v>
      </c>
      <c r="E24" s="68"/>
      <c r="F24" s="72">
        <f>IF(ISBLANK(E24),0,IF(D24='divs nats data base'!I$3,VLOOKUP(E24,feildgunassets[#All],setup!C$9+1,FALSE),VLOOKUP(E24,assetteams[#All],setup!C$9+1,FALSE)))</f>
        <v>0</v>
      </c>
      <c r="G24" s="105">
        <f ca="1">IF(D24='divs nats data base'!I2,VLOOKUP(E24,assetteams[#All],3,FALSE),VLOOKUP(E24,feildgunassets[#All],3,FALSE))</f>
        <v>0</v>
      </c>
      <c r="H24" s="299"/>
    </row>
    <row r="25" spans="1:14" ht="15" thickBot="1" x14ac:dyDescent="0.4">
      <c r="A25" s="67"/>
      <c r="C25" s="76" t="s">
        <v>50</v>
      </c>
      <c r="D25" s="13"/>
      <c r="E25" s="234"/>
      <c r="F25" s="72">
        <f>IF(ISBLANK(E25),0,VLOOKUP(E25,uncrewedvehicles[#All],setup!C$9+1,FALSE))</f>
        <v>0</v>
      </c>
      <c r="G25" s="105">
        <f ca="1">VLOOKUP(E25,uncrewedvehicles[],3,FALSE)</f>
        <v>0</v>
      </c>
      <c r="H25" s="299"/>
      <c r="I25" s="1" t="s">
        <v>240</v>
      </c>
    </row>
    <row r="26" spans="1:14" ht="15" thickBot="1" x14ac:dyDescent="0.4">
      <c r="A26" s="300" t="s">
        <v>192</v>
      </c>
      <c r="C26" s="226"/>
      <c r="D26" s="226"/>
      <c r="E26" s="227" t="s">
        <v>10</v>
      </c>
      <c r="F26" s="228">
        <f>SUM(F22:F25)</f>
        <v>0</v>
      </c>
      <c r="G26" s="229"/>
      <c r="H26" s="205"/>
      <c r="I26" s="143" t="s">
        <v>243</v>
      </c>
      <c r="J26">
        <f>H26*15</f>
        <v>0</v>
      </c>
    </row>
    <row r="27" spans="1:14" ht="15.5" thickTop="1" thickBot="1" x14ac:dyDescent="0.4">
      <c r="A27" s="300"/>
      <c r="C27" s="220" t="s">
        <v>94</v>
      </c>
      <c r="D27" s="221" t="s">
        <v>368</v>
      </c>
      <c r="E27" s="222"/>
      <c r="F27" s="72">
        <f>IF(ISBLANK(E27),0,IF(D27='divs nats data base'!G$2,VLOOKUP(E27,standardsquads[#All],setup!C$9+1,FALSE),IF(D27='divs nats data base'!G$3,VLOOKUP(E27,assetsquads[#All],setup!C$9+1,FALSE),IF(D27='divs nats data base'!G$4,VLOOKUP(E27,feildgunsquads[#All],setup!C$9+1,FALSE),IF(D27='divs nats data base'!G$5,VLOOKUP(E27,built_SF[#All],setup!$C$9+1,FALSE),IF(D27='divs nats data base'!G$6,VLOOKUP(E27,built_SF[#All],setup!$C$9+1,FALSE),IF(D27='divs nats data base'!G$7,VLOOKUP(E27,built_SF[#All],setup!$C$9+1,FALSE))))))))</f>
        <v>0</v>
      </c>
      <c r="G27" s="105">
        <f ca="1">IF(D27='divs nats data base'!G$2,VLOOKUP(E27,standardsquads[#All],3,FALSE),IF(D27='divs nats data base'!G$3,VLOOKUP(E27,assetsquads[#All],3,FALSE),IF(D27='divs nats data base'!G$4,VLOOKUP(E27,feildgunsquads[#All],3,FALSE),IF(D27='divs nats data base'!G$5,VLOOKUP(E27,built_SF[#All],3,FALSE),IF(D27='divs nats data base'!G$6,VLOOKUP(E27,built_SF[#All],3,FALSE),IF(D27='divs nats data base'!G$7,VLOOKUP(E27,built_SF[#All],3,FALSE)))))))</f>
        <v>0</v>
      </c>
      <c r="H27" s="205"/>
      <c r="I27" s="8" t="s">
        <v>244</v>
      </c>
      <c r="J27">
        <f>H27*10</f>
        <v>0</v>
      </c>
    </row>
    <row r="28" spans="1:14" ht="15" thickBot="1" x14ac:dyDescent="0.4">
      <c r="A28" s="300"/>
      <c r="C28" s="76" t="s">
        <v>535</v>
      </c>
      <c r="D28" s="13" t="s">
        <v>535</v>
      </c>
      <c r="E28" s="69"/>
      <c r="F28" s="72">
        <f>IF(ISBLANK(E28),0,VLOOKUP(E28,upgrades[#All],setup!C$9+1,FALSE))</f>
        <v>0</v>
      </c>
      <c r="G28" s="105">
        <f ca="1">VLOOKUP(E28,upgrades[#All],2,FALSE)</f>
        <v>0</v>
      </c>
      <c r="H28" s="205"/>
      <c r="I28" s="14" t="s">
        <v>245</v>
      </c>
      <c r="J28">
        <f>H28*5</f>
        <v>0</v>
      </c>
      <c r="N28" t="s">
        <v>74</v>
      </c>
    </row>
    <row r="29" spans="1:14" ht="15" thickBot="1" x14ac:dyDescent="0.4">
      <c r="A29" s="301" t="s">
        <v>193</v>
      </c>
      <c r="C29" s="76" t="s">
        <v>49</v>
      </c>
      <c r="D29" s="204" t="s">
        <v>504</v>
      </c>
      <c r="E29" s="68"/>
      <c r="F29" s="72">
        <f>IF(ISBLANK(E29),0,IF(D29='divs nats data base'!I$3,VLOOKUP(E29,feildgunassets[#All],setup!C$9+1,FALSE),VLOOKUP(E29,assetteams[#All],setup!C$9+1,FALSE)))</f>
        <v>0</v>
      </c>
      <c r="G29" s="105">
        <f ca="1">IF(D29='divs nats data base'!I2,VLOOKUP(E29,assetteams[#All],3,FALSE),VLOOKUP(E29,feildgunassets[#All],3,FALSE))</f>
        <v>0</v>
      </c>
      <c r="H29" s="205"/>
      <c r="I29" s="8" t="s">
        <v>246</v>
      </c>
      <c r="J29">
        <f>H29*50</f>
        <v>0</v>
      </c>
    </row>
    <row r="30" spans="1:14" ht="15" customHeight="1" thickBot="1" x14ac:dyDescent="0.4">
      <c r="A30" s="301"/>
      <c r="C30" s="76" t="s">
        <v>50</v>
      </c>
      <c r="D30" s="13"/>
      <c r="E30" s="234"/>
      <c r="F30" s="72">
        <f>IF(ISBLANK(E30),0,VLOOKUP(E30,uncrewedvehicles[#All],setup!C$9+1,FALSE))</f>
        <v>0</v>
      </c>
      <c r="G30" s="105">
        <f ca="1">VLOOKUP(E30,uncrewedvehicles[],3,FALSE)</f>
        <v>0</v>
      </c>
    </row>
    <row r="31" spans="1:14" ht="15" customHeight="1" thickBot="1" x14ac:dyDescent="0.4">
      <c r="A31" s="301"/>
      <c r="C31" s="76"/>
      <c r="D31" s="76"/>
      <c r="E31" s="230" t="s">
        <v>10</v>
      </c>
      <c r="F31" s="231">
        <f>SUM(F27:F30)</f>
        <v>0</v>
      </c>
      <c r="G31" s="105"/>
      <c r="I31" t="s">
        <v>242</v>
      </c>
      <c r="J31">
        <f>SUM(J26:J29)</f>
        <v>0</v>
      </c>
    </row>
    <row r="32" spans="1:14" ht="15" customHeight="1" thickTop="1" thickBot="1" x14ac:dyDescent="0.4">
      <c r="A32" s="302" t="s">
        <v>194</v>
      </c>
      <c r="C32" s="223" t="s">
        <v>95</v>
      </c>
      <c r="D32" s="232" t="s">
        <v>368</v>
      </c>
      <c r="E32" s="233"/>
      <c r="F32" s="224">
        <f>IF(ISBLANK(E32),0,IF(D32='divs nats data base'!G$2,VLOOKUP(E32,standardsquads[#All],setup!C$9+1,FALSE),IF(D32='divs nats data base'!G$3,VLOOKUP(E32,assetsquads[#All],setup!C$9+1,FALSE),IF(D32='divs nats data base'!G$4,VLOOKUP(E32,feildgunsquads[#All],setup!C$9+1,FALSE),IF(D32='divs nats data base'!G$5,VLOOKUP(E32,built_SF[#All],setup!$C$9+1,FALSE),IF(D32='divs nats data base'!G$6,VLOOKUP(E32,built_SF[#All],setup!$C$9+1,FALSE),IF(D32='divs nats data base'!G$7,VLOOKUP(E32,built_SF[#All],setup!$C$9+1,FALSE))))))))</f>
        <v>0</v>
      </c>
      <c r="G32" s="225">
        <f ca="1">IF(D32='divs nats data base'!G$2,VLOOKUP(E32,standardsquads[#All],3,FALSE),IF(D32='divs nats data base'!G$3,VLOOKUP(E32,assetsquads[#All],3,FALSE),IF(D32='divs nats data base'!G$4,VLOOKUP(E32,feildgunsquads[#All],3,FALSE),IF(D32='divs nats data base'!G$5,VLOOKUP(E32,built_SF[#All],3,FALSE),IF(D32='divs nats data base'!G$6,VLOOKUP(E32,built_SF[#All],3,FALSE),IF(D32='divs nats data base'!G$7,VLOOKUP(E32,built_SF[#All],3,FALSE)))))))</f>
        <v>0</v>
      </c>
    </row>
    <row r="33" spans="1:10" ht="14.5" customHeight="1" thickBot="1" x14ac:dyDescent="0.4">
      <c r="A33" s="302"/>
      <c r="C33" s="76" t="s">
        <v>535</v>
      </c>
      <c r="D33" s="13"/>
      <c r="E33" s="69"/>
      <c r="F33" s="72">
        <f>IF(ISBLANK(E33),0,VLOOKUP(E33,upgrades[#All],setup!C$9+1,FALSE))</f>
        <v>0</v>
      </c>
      <c r="G33" s="105">
        <f ca="1">VLOOKUP(E33,upgrades[#All],2,FALSE)</f>
        <v>0</v>
      </c>
    </row>
    <row r="34" spans="1:10" ht="14.5" customHeight="1" thickBot="1" x14ac:dyDescent="0.4">
      <c r="A34" s="302"/>
      <c r="C34" s="76" t="s">
        <v>49</v>
      </c>
      <c r="D34" s="203" t="s">
        <v>504</v>
      </c>
      <c r="E34" s="68"/>
      <c r="F34" s="72">
        <f>IF(ISBLANK(E34),0,IF(D34='divs nats data base'!I$3,VLOOKUP(E34,feildgunassets[#All],setup!C$9+1,FALSE),VLOOKUP(E34,assetteams[#All],setup!C$9+1,FALSE)))</f>
        <v>0</v>
      </c>
      <c r="G34" s="105">
        <f ca="1">IF(D34='divs nats data base'!I2,VLOOKUP(E34,assetteams[#All],3,FALSE),VLOOKUP(E34,feildgunassets[#All],3,FALSE))</f>
        <v>0</v>
      </c>
    </row>
    <row r="35" spans="1:10" ht="15" customHeight="1" thickBot="1" x14ac:dyDescent="0.4">
      <c r="A35" s="303" t="s">
        <v>263</v>
      </c>
      <c r="C35" s="76" t="s">
        <v>50</v>
      </c>
      <c r="D35" s="13"/>
      <c r="E35" s="234"/>
      <c r="F35" s="72">
        <f>IF(ISBLANK(E35),0,VLOOKUP(E35,uncrewedvehicles[#All],setup!C$9+1,FALSE))</f>
        <v>0</v>
      </c>
      <c r="G35" s="105">
        <f ca="1">VLOOKUP(E35,uncrewedvehicles[],3,FALSE)</f>
        <v>0</v>
      </c>
    </row>
    <row r="36" spans="1:10" ht="15" customHeight="1" thickBot="1" x14ac:dyDescent="0.4">
      <c r="A36" s="303"/>
      <c r="C36" s="226"/>
      <c r="D36" s="226"/>
      <c r="E36" s="227" t="s">
        <v>10</v>
      </c>
      <c r="F36" s="228">
        <f>SUM(F32:F35)</f>
        <v>0</v>
      </c>
      <c r="G36" s="229"/>
    </row>
    <row r="37" spans="1:10" ht="15" customHeight="1" thickTop="1" thickBot="1" x14ac:dyDescent="0.4">
      <c r="A37" s="303"/>
      <c r="B37" s="64"/>
      <c r="C37" s="223" t="s">
        <v>96</v>
      </c>
      <c r="D37" s="232" t="s">
        <v>368</v>
      </c>
      <c r="E37" s="233"/>
      <c r="F37" s="224">
        <f>IF(ISBLANK(E37),0,IF(D37='divs nats data base'!G$2,VLOOKUP(E37,standardsquads[#All],setup!C$9+1,FALSE),IF(D37='divs nats data base'!G$3,VLOOKUP(E37,assetsquads[#All],setup!C$9+1,FALSE),IF(D37='divs nats data base'!G$4,VLOOKUP(E37,feildgunsquads[#All],setup!C$9+1,FALSE),IF(D37='divs nats data base'!G$5,VLOOKUP(E37,built_SF[#All],setup!$C$9+1,FALSE),IF(D37='divs nats data base'!G$6,VLOOKUP(E37,built_SF[#All],setup!$C$9+1,FALSE),IF(D37='divs nats data base'!G$7,VLOOKUP(E37,built_SF[#All],setup!$C$9+1,FALSE))))))))</f>
        <v>0</v>
      </c>
      <c r="G37" s="225">
        <f ca="1">IF(D37='divs nats data base'!G$2,VLOOKUP(E37,standardsquads[#All],3,FALSE),IF(D37='divs nats data base'!G$3,VLOOKUP(E37,assetsquads[#All],3,FALSE),IF(D37='divs nats data base'!G$4,VLOOKUP(E37,feildgunsquads[#All],3,FALSE),IF(D37='divs nats data base'!G$5,VLOOKUP(E37,built_SF[#All],3,FALSE),IF(D37='divs nats data base'!G$6,VLOOKUP(E37,built_SF[#All],3,FALSE),IF(D37='divs nats data base'!G$7,VLOOKUP(E37,built_SF[#All],3,FALSE)))))))</f>
        <v>0</v>
      </c>
    </row>
    <row r="38" spans="1:10" ht="14.5" customHeight="1" thickBot="1" x14ac:dyDescent="0.4">
      <c r="B38" s="67"/>
      <c r="C38" s="76" t="s">
        <v>535</v>
      </c>
      <c r="D38" s="13"/>
      <c r="E38" s="69"/>
      <c r="F38" s="72">
        <f>IF(ISBLANK(E38),0,VLOOKUP(E38,upgrades[#All],setup!C$9+1,FALSE))</f>
        <v>0</v>
      </c>
      <c r="G38" s="105">
        <f ca="1">VLOOKUP(E38,upgrades[#All],2,FALSE)</f>
        <v>0</v>
      </c>
    </row>
    <row r="39" spans="1:10" ht="17" customHeight="1" thickBot="1" x14ac:dyDescent="0.4">
      <c r="B39" s="59"/>
      <c r="C39" s="76" t="s">
        <v>49</v>
      </c>
      <c r="D39" s="203" t="s">
        <v>504</v>
      </c>
      <c r="E39" s="68"/>
      <c r="F39" s="72">
        <f>IF(ISBLANK(E39),0,IF(D39='divs nats data base'!I$3,VLOOKUP(E39,feildgunassets[#All],setup!C$9+1,FALSE),VLOOKUP(E39,assetteams[#All],setup!C$9+1,FALSE)))</f>
        <v>0</v>
      </c>
      <c r="G39" s="105">
        <f ca="1">IF(D39='divs nats data base'!I2,VLOOKUP(E39,assetteams[#All],3,FALSE),VLOOKUP(E39,feildgunassets[#All],3,FALSE))</f>
        <v>0</v>
      </c>
    </row>
    <row r="40" spans="1:10" ht="15" customHeight="1" thickBot="1" x14ac:dyDescent="0.4">
      <c r="B40" s="59"/>
      <c r="C40" s="76" t="s">
        <v>50</v>
      </c>
      <c r="D40" s="13"/>
      <c r="E40" s="234"/>
      <c r="F40" s="72">
        <f>IF(ISBLANK(E40),0,VLOOKUP(E40,uncrewedvehicles[#All],setup!C$9+1,FALSE))</f>
        <v>0</v>
      </c>
      <c r="G40" s="105">
        <f ca="1">VLOOKUP(E40,uncrewedvehicles[],3,FALSE)</f>
        <v>0</v>
      </c>
      <c r="I40" s="13" t="s">
        <v>10</v>
      </c>
      <c r="J40" s="71">
        <f>SUM(F6+F11+F16+F21+F26+F31+F36+F41+F44+J31)</f>
        <v>0</v>
      </c>
    </row>
    <row r="41" spans="1:10" ht="15" customHeight="1" thickBot="1" x14ac:dyDescent="0.4">
      <c r="A41" s="67"/>
      <c r="B41" s="59"/>
      <c r="C41" s="226"/>
      <c r="D41" s="226"/>
      <c r="E41" s="227" t="s">
        <v>10</v>
      </c>
      <c r="F41" s="228">
        <f>SUM(F37:F40)</f>
        <v>0</v>
      </c>
      <c r="G41" s="229"/>
      <c r="I41" t="s">
        <v>29</v>
      </c>
      <c r="J41" s="71">
        <f>(A16-J40)</f>
        <v>0</v>
      </c>
    </row>
    <row r="42" spans="1:10" ht="15.5" customHeight="1" thickTop="1" x14ac:dyDescent="0.35">
      <c r="A42" s="67"/>
      <c r="C42" s="59" t="str">
        <f>A19</f>
        <v>0.0.USA.infantry.trained...neutral.7.1.0</v>
      </c>
      <c r="D42" s="59"/>
      <c r="E42" s="64"/>
      <c r="F42" s="206"/>
      <c r="G42" s="59"/>
    </row>
    <row r="43" spans="1:10" x14ac:dyDescent="0.35">
      <c r="A43" s="59"/>
      <c r="C43" s="59"/>
      <c r="D43" s="59"/>
      <c r="E43" s="64"/>
      <c r="F43" s="206"/>
      <c r="G43" s="59"/>
    </row>
    <row r="44" spans="1:10" x14ac:dyDescent="0.35">
      <c r="A44" s="67"/>
      <c r="C44" s="59"/>
      <c r="D44" s="59"/>
      <c r="E44" s="59"/>
      <c r="F44" s="206"/>
      <c r="G44" s="59"/>
    </row>
    <row r="45" spans="1:10" x14ac:dyDescent="0.35">
      <c r="A45" s="67"/>
    </row>
    <row r="46" spans="1:10" x14ac:dyDescent="0.35">
      <c r="A46" s="59"/>
      <c r="E46" s="13"/>
    </row>
    <row r="47" spans="1:10" x14ac:dyDescent="0.35">
      <c r="A47" s="67"/>
      <c r="C47" s="13"/>
      <c r="D47" s="13"/>
    </row>
    <row r="48" spans="1:10" x14ac:dyDescent="0.35">
      <c r="A48" s="67"/>
      <c r="C48" s="60"/>
      <c r="D48" s="60"/>
    </row>
    <row r="49" spans="3:4" x14ac:dyDescent="0.35">
      <c r="C49" s="2"/>
      <c r="D49" s="62"/>
    </row>
    <row r="50" spans="3:4" x14ac:dyDescent="0.35">
      <c r="C50" s="2"/>
      <c r="D50" s="56"/>
    </row>
    <row r="51" spans="3:4" x14ac:dyDescent="0.35">
      <c r="C51" s="63"/>
      <c r="D51" s="56"/>
    </row>
    <row r="52" spans="3:4" x14ac:dyDescent="0.35">
      <c r="C52" s="2"/>
      <c r="D52" s="56"/>
    </row>
    <row r="53" spans="3:4" x14ac:dyDescent="0.35">
      <c r="C53" s="63"/>
      <c r="D53" s="56"/>
    </row>
    <row r="54" spans="3:4" x14ac:dyDescent="0.35">
      <c r="C54" s="64"/>
      <c r="D54" s="64"/>
    </row>
    <row r="55" spans="3:4" x14ac:dyDescent="0.35">
      <c r="C55" s="64"/>
      <c r="D55" s="64"/>
    </row>
    <row r="56" spans="3:4" x14ac:dyDescent="0.35">
      <c r="C56" s="64"/>
      <c r="D56" s="64"/>
    </row>
    <row r="57" spans="3:4" x14ac:dyDescent="0.35">
      <c r="C57" s="64"/>
      <c r="D57" s="64"/>
    </row>
    <row r="58" spans="3:4" x14ac:dyDescent="0.35">
      <c r="C58" s="64"/>
      <c r="D58" s="64"/>
    </row>
    <row r="59" spans="3:4" x14ac:dyDescent="0.35">
      <c r="C59" s="64"/>
      <c r="D59" s="64"/>
    </row>
    <row r="60" spans="3:4" x14ac:dyDescent="0.35">
      <c r="C60" s="59"/>
      <c r="D60" s="59"/>
    </row>
    <row r="61" spans="3:4" x14ac:dyDescent="0.35">
      <c r="C61" s="59"/>
      <c r="D61" s="59"/>
    </row>
    <row r="62" spans="3:4" x14ac:dyDescent="0.35">
      <c r="C62" s="59"/>
      <c r="D62" s="59"/>
    </row>
    <row r="63" spans="3:4" x14ac:dyDescent="0.35">
      <c r="C63" s="59"/>
      <c r="D63" s="59"/>
    </row>
    <row r="64" spans="3:4" x14ac:dyDescent="0.35">
      <c r="C64" s="59"/>
      <c r="D64" s="59"/>
    </row>
    <row r="65" spans="1:4" x14ac:dyDescent="0.35">
      <c r="C65" s="59"/>
      <c r="D65" s="59"/>
    </row>
    <row r="66" spans="1:4" x14ac:dyDescent="0.35">
      <c r="C66" s="59"/>
      <c r="D66" s="59"/>
    </row>
    <row r="67" spans="1:4" x14ac:dyDescent="0.35">
      <c r="C67" s="59"/>
      <c r="D67" s="59"/>
    </row>
    <row r="68" spans="1:4" x14ac:dyDescent="0.35">
      <c r="C68" s="2"/>
      <c r="D68" s="59"/>
    </row>
    <row r="69" spans="1:4" x14ac:dyDescent="0.35">
      <c r="C69" s="2"/>
      <c r="D69" s="59"/>
    </row>
    <row r="70" spans="1:4" x14ac:dyDescent="0.35">
      <c r="C70" s="59"/>
      <c r="D70" s="59"/>
    </row>
    <row r="71" spans="1:4" x14ac:dyDescent="0.35">
      <c r="C71" s="59"/>
      <c r="D71" s="59"/>
    </row>
    <row r="72" spans="1:4" x14ac:dyDescent="0.35">
      <c r="B72" s="13"/>
      <c r="C72" s="13"/>
      <c r="D72" s="13"/>
    </row>
    <row r="73" spans="1:4" x14ac:dyDescent="0.35">
      <c r="B73" s="59"/>
    </row>
    <row r="74" spans="1:4" x14ac:dyDescent="0.35">
      <c r="B74" s="59"/>
    </row>
    <row r="75" spans="1:4" x14ac:dyDescent="0.35">
      <c r="B75" s="60"/>
    </row>
    <row r="76" spans="1:4" x14ac:dyDescent="0.35">
      <c r="A76" s="59"/>
      <c r="B76" s="61"/>
    </row>
    <row r="77" spans="1:4" x14ac:dyDescent="0.35">
      <c r="A77" s="59"/>
      <c r="B77" s="63"/>
    </row>
    <row r="78" spans="1:4" x14ac:dyDescent="0.35">
      <c r="A78" s="60"/>
      <c r="B78" s="63"/>
    </row>
    <row r="79" spans="1:4" x14ac:dyDescent="0.35">
      <c r="A79" s="63"/>
      <c r="B79" s="61"/>
    </row>
    <row r="80" spans="1:4" x14ac:dyDescent="0.35">
      <c r="A80" s="63"/>
      <c r="B80" s="63"/>
    </row>
    <row r="81" spans="1:2" x14ac:dyDescent="0.35">
      <c r="A81" s="63"/>
      <c r="B81" s="2"/>
    </row>
    <row r="82" spans="1:2" x14ac:dyDescent="0.35">
      <c r="A82" s="63"/>
      <c r="B82" s="64"/>
    </row>
    <row r="83" spans="1:2" x14ac:dyDescent="0.35">
      <c r="A83" s="2" t="str">
        <f t="array" ref="A83">IFERROR(INDEX(tblunits[unitname],SMALL(IF((tblunits[nation]=$B$23)*(tblunits[division]=#REF!)*(tblunits[squadtype]=$D$7),ROW(tblunits[unitname])-MIN(ROW(tblunits[unitname]))+1),ROWS($A$83:A83))),"")</f>
        <v/>
      </c>
      <c r="B83" s="64"/>
    </row>
    <row r="84" spans="1:2" x14ac:dyDescent="0.35">
      <c r="A84" s="2" t="str">
        <f t="array" ref="A84">IFERROR(INDEX(tblunits[unitname],SMALL(IF((tblunits[nation]=$B$23)*(tblunits[division]=#REF!)*(tblunits[squadtype]=$D$7),ROW(tblunits[unitname])-MIN(ROW(tblunits[unitname]))+1),ROWS($A$83:A84))),"")</f>
        <v/>
      </c>
      <c r="B84" s="64"/>
    </row>
    <row r="85" spans="1:2" x14ac:dyDescent="0.35">
      <c r="A85" s="2" t="str">
        <f t="array" ref="A85">IFERROR(INDEX(tblunits[unitname],SMALL(IF((tblunits[nation]=$B$23)*(tblunits[division]=#REF!)*(tblunits[squadtype]=$D$7),ROW(tblunits[unitname])-MIN(ROW(tblunits[unitname]))+1),ROWS($A$83:A85))),"")</f>
        <v/>
      </c>
      <c r="B85" s="64"/>
    </row>
    <row r="86" spans="1:2" x14ac:dyDescent="0.35">
      <c r="A86" s="2" t="str">
        <f t="array" ref="A86">IFERROR(INDEX(tblunits[unitname],SMALL(IF((tblunits[nation]=$B$23)*(tblunits[division]=#REF!)*(tblunits[squadtype]=$D$7),ROW(tblunits[unitname])-MIN(ROW(tblunits[unitname]))+1),ROWS($A$83:A86))),"")</f>
        <v/>
      </c>
      <c r="B86" s="56"/>
    </row>
    <row r="87" spans="1:2" x14ac:dyDescent="0.35">
      <c r="A87" s="2" t="str">
        <f t="array" ref="A87">IFERROR(INDEX(tblunits[unitname],SMALL(IF((tblunits[nation]=$B$23)*(tblunits[division]=#REF!)*(tblunits[squadtype]=$D$7),ROW(tblunits[unitname])-MIN(ROW(tblunits[unitname]))+1),ROWS($A$83:A87))),"")</f>
        <v/>
      </c>
      <c r="B87" s="59"/>
    </row>
    <row r="88" spans="1:2" x14ac:dyDescent="0.35">
      <c r="A88" s="2" t="str">
        <f t="array" ref="A88">IFERROR(INDEX(tblunits[unitname],SMALL(IF((tblunits[nation]=$B$23)*(tblunits[division]=#REF!)*(tblunits[squadtype]=$D$7),ROW(tblunits[unitname])-MIN(ROW(tblunits[unitname]))+1),ROWS($A$83:A88))),"")</f>
        <v/>
      </c>
      <c r="B88" s="59"/>
    </row>
    <row r="89" spans="1:2" x14ac:dyDescent="0.35">
      <c r="A89" s="2" t="str">
        <f t="array" ref="A89">IFERROR(INDEX(tblunits[unitname],SMALL(IF((tblunits[nation]=$B$23)*(tblunits[division]=#REF!)*(tblunits[squadtype]=$D$7),ROW(tblunits[unitname])-MIN(ROW(tblunits[unitname]))+1),ROWS($A$83:A89))),"")</f>
        <v/>
      </c>
      <c r="B89" s="59"/>
    </row>
    <row r="90" spans="1:2" x14ac:dyDescent="0.35">
      <c r="A90" s="2" t="str">
        <f t="array" ref="A90">IFERROR(INDEX(tblunits[unitname],SMALL(IF((tblunits[nation]=$B$23)*(tblunits[division]=#REF!)*(tblunits[squadtype]=$D$7),ROW(tblunits[unitname])-MIN(ROW(tblunits[unitname]))+1),ROWS($A$83:A90))),"")</f>
        <v/>
      </c>
      <c r="B90" s="59"/>
    </row>
    <row r="91" spans="1:2" x14ac:dyDescent="0.35">
      <c r="A91" s="2" t="str">
        <f t="array" ref="A91">IFERROR(INDEX(tblunits[unitname],SMALL(IF((tblunits[nation]=$B$23)*(tblunits[division]=#REF!)*(tblunits[squadtype]=$D$7),ROW(tblunits[unitname])-MIN(ROW(tblunits[unitname]))+1),ROWS($A$83:A91))),"")</f>
        <v/>
      </c>
      <c r="B91" s="59"/>
    </row>
    <row r="92" spans="1:2" x14ac:dyDescent="0.35">
      <c r="A92" s="2" t="str">
        <f t="array" ref="A92">IFERROR(INDEX(tblunits[unitname],SMALL(IF((tblunits[nation]=$B$23)*(tblunits[division]=#REF!)*(tblunits[squadtype]=$D$7),ROW(tblunits[unitname])-MIN(ROW(tblunits[unitname]))+1),ROWS($A$83:A92))),"")</f>
        <v/>
      </c>
      <c r="B92" s="59"/>
    </row>
    <row r="93" spans="1:2" x14ac:dyDescent="0.35">
      <c r="A93" s="2" t="str">
        <f t="array" ref="A93">IFERROR(INDEX(tblunits[unitname],SMALL(IF((tblunits[nation]=$B$23)*(tblunits[division]=#REF!)*(tblunits[squadtype]=$D$7),ROW(tblunits[unitname])-MIN(ROW(tblunits[unitname]))+1),ROWS($A$83:A93))),"")</f>
        <v/>
      </c>
      <c r="B93" s="59"/>
    </row>
    <row r="94" spans="1:2" x14ac:dyDescent="0.35">
      <c r="A94" s="2" t="str">
        <f t="array" ref="A94">IFERROR(INDEX(tblunits[unitname],SMALL(IF((tblunits[nation]=$B$23)*(tblunits[division]=#REF!)*(tblunits[squadtype]=$D$7),ROW(tblunits[unitname])-MIN(ROW(tblunits[unitname]))+1),ROWS($A$83:A94))),"")</f>
        <v/>
      </c>
      <c r="B94" s="59"/>
    </row>
    <row r="95" spans="1:2" x14ac:dyDescent="0.35">
      <c r="A95" s="2" t="str">
        <f t="array" ref="A95">IFERROR(INDEX(tblunits[unitname],SMALL(IF((tblunits[nation]=$B$23)*(tblunits[division]=#REF!)*(tblunits[squadtype]=$D$7),ROW(tblunits[unitname])-MIN(ROW(tblunits[unitname]))+1),ROWS($A$83:A95))),"")</f>
        <v/>
      </c>
      <c r="B95" s="59"/>
    </row>
    <row r="96" spans="1:2" x14ac:dyDescent="0.35">
      <c r="A96" s="2" t="str">
        <f t="array" ref="A96">IFERROR(INDEX(tblunits[unitname],SMALL(IF((tblunits[nation]=$B$23)*(tblunits[division]=#REF!)*(tblunits[squadtype]=$D$7),ROW(tblunits[unitname])-MIN(ROW(tblunits[unitname]))+1),ROWS($A$83:A96))),"")</f>
        <v/>
      </c>
      <c r="B96" s="59"/>
    </row>
    <row r="97" spans="1:2" x14ac:dyDescent="0.35">
      <c r="A97" s="2" t="str">
        <f t="array" ref="A97">IFERROR(INDEX(tblunits[unitname],SMALL(IF((tblunits[nation]=$B$23)*(tblunits[division]=#REF!)*(tblunits[squadtype]=$D$7),ROW(tblunits[unitname])-MIN(ROW(tblunits[unitname]))+1),ROWS($A$83:A97))),"")</f>
        <v/>
      </c>
      <c r="B97" s="13"/>
    </row>
    <row r="98" spans="1:2" x14ac:dyDescent="0.35">
      <c r="A98" s="2" t="str">
        <f t="array" ref="A98">IFERROR(INDEX(tblunits[unitname],SMALL(IF((tblunits[nation]=$B$23)*(tblunits[division]=#REF!)*(tblunits[squadtype]=$D$7),ROW(tblunits[unitname])-MIN(ROW(tblunits[unitname]))+1),ROWS($A$83:A98))),"")</f>
        <v/>
      </c>
    </row>
    <row r="99" spans="1:2" x14ac:dyDescent="0.35">
      <c r="A99" s="2" t="str">
        <f t="array" ref="A99">IFERROR(INDEX(tblunits[unitname],SMALL(IF((tblunits[nation]=$B$23)*(tblunits[division]=#REF!)*(tblunits[squadtype]=$D$7),ROW(tblunits[unitname])-MIN(ROW(tblunits[unitname]))+1),ROWS($A$83:A99))),"")</f>
        <v/>
      </c>
    </row>
    <row r="100" spans="1:2" x14ac:dyDescent="0.35">
      <c r="A100" s="2" t="str">
        <f t="array" ref="A100">IFERROR(INDEX(tblunits[unitname],SMALL(IF((tblunits[nation]=$B$23)*(tblunits[division]=#REF!)*(tblunits[squadtype]=$D$7),ROW(tblunits[unitname])-MIN(ROW(tblunits[unitname]))+1),ROWS($A$83:A100))),"")</f>
        <v/>
      </c>
    </row>
    <row r="101" spans="1:2" x14ac:dyDescent="0.35">
      <c r="A101" s="2" t="str">
        <f t="array" ref="A101">IFERROR(INDEX(tblunits[unitname],SMALL(IF((tblunits[nation]=$B$23)*(tblunits[division]=#REF!)*(tblunits[squadtype]=$D$7),ROW(tblunits[unitname])-MIN(ROW(tblunits[unitname]))+1),ROWS($A$83:A101))),"")</f>
        <v/>
      </c>
    </row>
    <row r="102" spans="1:2" x14ac:dyDescent="0.35">
      <c r="A102" s="2" t="str">
        <f t="array" ref="A102">IFERROR(INDEX(tblunits[unitname],SMALL(IF((tblunits[nation]=$B$23)*(tblunits[division]=#REF!)*(tblunits[squadtype]=$D$7),ROW(tblunits[unitname])-MIN(ROW(tblunits[unitname]))+1),ROWS($A$83:A102))),"")</f>
        <v/>
      </c>
    </row>
    <row r="103" spans="1:2" x14ac:dyDescent="0.35">
      <c r="A103" s="2" t="str">
        <f t="array" ref="A103">IFERROR(INDEX(tblunits[unitname],SMALL(IF((tblunits[nation]=$B$23)*(tblunits[division]=#REF!)*(tblunits[squadtype]=$D$7),ROW(tblunits[unitname])-MIN(ROW(tblunits[unitname]))+1),ROWS($A$83:A103))),"")</f>
        <v/>
      </c>
    </row>
    <row r="104" spans="1:2" x14ac:dyDescent="0.35">
      <c r="A104" s="2" t="str">
        <f t="array" ref="A104">IFERROR(INDEX(tblunits[unitname],SMALL(IF((tblunits[nation]=$B$23)*(tblunits[division]=#REF!)*(tblunits[squadtype]=$D$7),ROW(tblunits[unitname])-MIN(ROW(tblunits[unitname]))+1),ROWS($A$83:A104))),"")</f>
        <v/>
      </c>
    </row>
    <row r="105" spans="1:2" x14ac:dyDescent="0.35">
      <c r="A105" s="2" t="str">
        <f t="array" ref="A105">IFERROR(INDEX(tblunits[unitname],SMALL(IF((tblunits[nation]=$B$23)*(tblunits[division]=#REF!)*(tblunits[squadtype]=$D$7),ROW(tblunits[unitname])-MIN(ROW(tblunits[unitname]))+1),ROWS($A$83:A105))),"")</f>
        <v/>
      </c>
    </row>
    <row r="106" spans="1:2" x14ac:dyDescent="0.35">
      <c r="A106" s="2" t="str">
        <f t="array" ref="A106">IFERROR(INDEX(tblunits[unitname],SMALL(IF((tblunits[nation]=$B$23)*(tblunits[division]=#REF!)*(tblunits[squadtype]=$D$7),ROW(tblunits[unitname])-MIN(ROW(tblunits[unitname]))+1),ROWS($A$83:A106))),"")</f>
        <v/>
      </c>
    </row>
    <row r="107" spans="1:2" x14ac:dyDescent="0.35">
      <c r="A107" s="2" t="str">
        <f t="array" ref="A107">IFERROR(INDEX(tblunits[unitname],SMALL(IF((tblunits[nation]=$B$23)*(tblunits[division]=#REF!)*(tblunits[squadtype]=$D$7),ROW(tblunits[unitname])-MIN(ROW(tblunits[unitname]))+1),ROWS($A$83:A107))),"")</f>
        <v/>
      </c>
    </row>
    <row r="108" spans="1:2" x14ac:dyDescent="0.35">
      <c r="A108" s="2" t="str">
        <f t="array" ref="A108">IFERROR(INDEX(tblunits[unitname],SMALL(IF((tblunits[nation]=$B$23)*(tblunits[division]=#REF!)*(tblunits[squadtype]=$D$7),ROW(tblunits[unitname])-MIN(ROW(tblunits[unitname]))+1),ROWS($A$83:A108))),"")</f>
        <v/>
      </c>
    </row>
    <row r="109" spans="1:2" x14ac:dyDescent="0.35">
      <c r="A109" s="2" t="str">
        <f t="array" ref="A109">IFERROR(INDEX(tblunits[unitname],SMALL(IF((tblunits[nation]=$B$23)*(tblunits[division]=#REF!)*(tblunits[squadtype]=$D$7),ROW(tblunits[unitname])-MIN(ROW(tblunits[unitname]))+1),ROWS($A$83:A109))),"")</f>
        <v/>
      </c>
    </row>
    <row r="110" spans="1:2" x14ac:dyDescent="0.35">
      <c r="A110" s="2" t="str">
        <f t="array" ref="A110">IFERROR(INDEX(tblunits[unitname],SMALL(IF((tblunits[nation]=$B$23)*(tblunits[division]=#REF!)*(tblunits[squadtype]=$D$7),ROW(tblunits[unitname])-MIN(ROW(tblunits[unitname]))+1),ROWS($A$83:A110))),"")</f>
        <v/>
      </c>
    </row>
    <row r="111" spans="1:2" x14ac:dyDescent="0.35">
      <c r="A111" s="2" t="str">
        <f t="array" ref="A111">IFERROR(INDEX(tblunits[unitname],SMALL(IF((tblunits[nation]=$B$23)*(tblunits[division]=#REF!)*(tblunits[squadtype]=$D$7),ROW(tblunits[unitname])-MIN(ROW(tblunits[unitname]))+1),ROWS($A$83:A111))),"")</f>
        <v/>
      </c>
    </row>
    <row r="112" spans="1:2" x14ac:dyDescent="0.35">
      <c r="A112" s="2" t="str">
        <f t="array" ref="A112">IFERROR(INDEX(tblunits[unitname],SMALL(IF((tblunits[nation]=$B$23)*(tblunits[division]=#REF!)*(tblunits[squadtype]=$D$7),ROW(tblunits[unitname])-MIN(ROW(tblunits[unitname]))+1),ROWS($A$83:A112))),"")</f>
        <v/>
      </c>
    </row>
    <row r="113" spans="1:1" x14ac:dyDescent="0.35">
      <c r="A113" s="2" t="str">
        <f t="array" ref="A113">IFERROR(INDEX(tblunits[unitname],SMALL(IF((tblunits[nation]=$B$23)*(tblunits[division]=#REF!)*(tblunits[squadtype]=$D$7),ROW(tblunits[unitname])-MIN(ROW(tblunits[unitname]))+1),ROWS($A$83:A113))),"")</f>
        <v/>
      </c>
    </row>
    <row r="114" spans="1:1" x14ac:dyDescent="0.35">
      <c r="A114" s="2" t="str">
        <f t="array" ref="A114">IFERROR(INDEX(tblunits[unitname],SMALL(IF((tblunits[nation]=$B$23)*(tblunits[division]=#REF!)*(tblunits[squadtype]=$D$7),ROW(tblunits[unitname])-MIN(ROW(tblunits[unitname]))+1),ROWS($A$83:A114))),"")</f>
        <v/>
      </c>
    </row>
    <row r="115" spans="1:1" x14ac:dyDescent="0.35">
      <c r="A115" s="2" t="str">
        <f t="array" ref="A115">IFERROR(INDEX(tblunits[unitname],SMALL(IF((tblunits[nation]=$B$23)*(tblunits[division]=#REF!)*(tblunits[squadtype]=$D$7),ROW(tblunits[unitname])-MIN(ROW(tblunits[unitname]))+1),ROWS($A$83:A115))),"")</f>
        <v/>
      </c>
    </row>
    <row r="116" spans="1:1" x14ac:dyDescent="0.35">
      <c r="A116" s="2" t="str">
        <f t="array" ref="A116">IFERROR(INDEX(tblunits[unitname],SMALL(IF((tblunits[nation]=$B$23)*(tblunits[division]=#REF!)*(tblunits[squadtype]=$D$7),ROW(tblunits[unitname])-MIN(ROW(tblunits[unitname]))+1),ROWS($A$83:A116))),"")</f>
        <v/>
      </c>
    </row>
    <row r="117" spans="1:1" x14ac:dyDescent="0.35">
      <c r="A117" s="2" t="str">
        <f t="array" ref="A117">IFERROR(INDEX(tblunits[unitname],SMALL(IF((tblunits[nation]=$B$23)*(tblunits[division]=#REF!)*(tblunits[squadtype]=$D$7),ROW(tblunits[unitname])-MIN(ROW(tblunits[unitname]))+1),ROWS($A$83:A117))),"")</f>
        <v/>
      </c>
    </row>
    <row r="118" spans="1:1" x14ac:dyDescent="0.35">
      <c r="A118" s="2" t="str">
        <f t="array" ref="A118">IFERROR(INDEX(tblunits[unitname],SMALL(IF((tblunits[nation]=$B$23)*(tblunits[division]=#REF!)*(tblunits[squadtype]=$D$7),ROW(tblunits[unitname])-MIN(ROW(tblunits[unitname]))+1),ROWS($A$83:A118))),"")</f>
        <v/>
      </c>
    </row>
    <row r="119" spans="1:1" x14ac:dyDescent="0.35">
      <c r="A119" s="2" t="str">
        <f t="array" ref="A119">IFERROR(INDEX(tblunits[unitname],SMALL(IF((tblunits[nation]=$B$23)*(tblunits[division]=#REF!)*(tblunits[squadtype]=$D$7),ROW(tblunits[unitname])-MIN(ROW(tblunits[unitname]))+1),ROWS($A$83:A119))),"")</f>
        <v/>
      </c>
    </row>
    <row r="120" spans="1:1" x14ac:dyDescent="0.35">
      <c r="A120" s="2" t="str">
        <f t="array" ref="A120">IFERROR(INDEX(tblunits[unitname],SMALL(IF((tblunits[nation]=$B$23)*(tblunits[division]=#REF!)*(tblunits[squadtype]=$D$7),ROW(tblunits[unitname])-MIN(ROW(tblunits[unitname]))+1),ROWS($A$83:A120))),"")</f>
        <v/>
      </c>
    </row>
    <row r="121" spans="1:1" x14ac:dyDescent="0.35">
      <c r="A121" s="2" t="str">
        <f t="array" ref="A121">IFERROR(INDEX(tblunits[unitname],SMALL(IF((tblunits[nation]=$B$23)*(tblunits[division]=#REF!)*(tblunits[squadtype]=$D$7),ROW(tblunits[unitname])-MIN(ROW(tblunits[unitname]))+1),ROWS($A$83:A121))),"")</f>
        <v/>
      </c>
    </row>
    <row r="122" spans="1:1" x14ac:dyDescent="0.35">
      <c r="A122" s="2" t="str">
        <f t="array" ref="A122">IFERROR(INDEX(tblunits[unitname],SMALL(IF((tblunits[nation]=$B$23)*(tblunits[division]=#REF!)*(tblunits[squadtype]=$D$7),ROW(tblunits[unitname])-MIN(ROW(tblunits[unitname]))+1),ROWS($A$83:A122))),"")</f>
        <v/>
      </c>
    </row>
    <row r="123" spans="1:1" x14ac:dyDescent="0.35">
      <c r="A123" s="2" t="str">
        <f t="array" ref="A123">IFERROR(INDEX(tblunits[unitname],SMALL(IF((tblunits[nation]=$B$23)*(tblunits[division]=#REF!)*(tblunits[squadtype]=$D$7),ROW(tblunits[unitname])-MIN(ROW(tblunits[unitname]))+1),ROWS($A$83:A123))),"")</f>
        <v/>
      </c>
    </row>
    <row r="124" spans="1:1" x14ac:dyDescent="0.35">
      <c r="A124" s="2" t="str">
        <f t="array" ref="A124">IFERROR(INDEX(tblunits[unitname],SMALL(IF((tblunits[nation]=$B$23)*(tblunits[division]=#REF!)*(tblunits[squadtype]=$D$7),ROW(tblunits[unitname])-MIN(ROW(tblunits[unitname]))+1),ROWS($A$83:A124))),"")</f>
        <v/>
      </c>
    </row>
    <row r="125" spans="1:1" x14ac:dyDescent="0.35">
      <c r="A125" s="2" t="str">
        <f t="array" ref="A125">IFERROR(INDEX(tblunits[unitname],SMALL(IF((tblunits[nation]=$B$23)*(tblunits[division]=#REF!)*(tblunits[squadtype]=$D$7),ROW(tblunits[unitname])-MIN(ROW(tblunits[unitname]))+1),ROWS($A$83:A125))),"")</f>
        <v/>
      </c>
    </row>
    <row r="126" spans="1:1" x14ac:dyDescent="0.35">
      <c r="A126" s="2" t="str">
        <f t="array" ref="A126">IFERROR(INDEX(tblunits[unitname],SMALL(IF((tblunits[nation]=$B$23)*(tblunits[division]=#REF!)*(tblunits[squadtype]=$D$7),ROW(tblunits[unitname])-MIN(ROW(tblunits[unitname]))+1),ROWS($A$83:A126))),"")</f>
        <v/>
      </c>
    </row>
    <row r="127" spans="1:1" x14ac:dyDescent="0.35">
      <c r="A127" s="2" t="str">
        <f t="array" ref="A127">IFERROR(INDEX(tblunits[unitname],SMALL(IF((tblunits[nation]=$B$23)*(tblunits[division]=#REF!)*(tblunits[squadtype]=$D$7),ROW(tblunits[unitname])-MIN(ROW(tblunits[unitname]))+1),ROWS($A$83:A127))),"")</f>
        <v/>
      </c>
    </row>
    <row r="128" spans="1:1" x14ac:dyDescent="0.35">
      <c r="A128" s="2" t="str">
        <f t="array" ref="A128">IFERROR(INDEX(tblunits[unitname],SMALL(IF((tblunits[nation]=$B$23)*(tblunits[division]=#REF!)*(tblunits[squadtype]=$D$7),ROW(tblunits[unitname])-MIN(ROW(tblunits[unitname]))+1),ROWS($A$83:A128))),"")</f>
        <v/>
      </c>
    </row>
    <row r="129" spans="1:1" x14ac:dyDescent="0.35">
      <c r="A129" s="2" t="str">
        <f t="array" ref="A129">IFERROR(INDEX(tblunits[unitname],SMALL(IF((tblunits[nation]=$B$23)*(tblunits[division]=#REF!)*(tblunits[squadtype]=$D$7),ROW(tblunits[unitname])-MIN(ROW(tblunits[unitname]))+1),ROWS($A$83:A129))),"")</f>
        <v/>
      </c>
    </row>
    <row r="130" spans="1:1" x14ac:dyDescent="0.35">
      <c r="A130" s="2" t="str">
        <f t="array" ref="A130">IFERROR(INDEX(tblunits[unitname],SMALL(IF((tblunits[nation]=$B$23)*(tblunits[division]=#REF!)*(tblunits[squadtype]=$D$7),ROW(tblunits[unitname])-MIN(ROW(tblunits[unitname]))+1),ROWS($A$83:A130))),"")</f>
        <v/>
      </c>
    </row>
    <row r="131" spans="1:1" x14ac:dyDescent="0.35">
      <c r="A131" s="2" t="str">
        <f t="array" ref="A131">IFERROR(INDEX(tblunits[unitname],SMALL(IF((tblunits[nation]=$B$23)*(tblunits[division]=#REF!)*(tblunits[squadtype]=$D$7),ROW(tblunits[unitname])-MIN(ROW(tblunits[unitname]))+1),ROWS($A$83:A131))),"")</f>
        <v/>
      </c>
    </row>
    <row r="132" spans="1:1" x14ac:dyDescent="0.35">
      <c r="A132" s="2" t="str">
        <f t="array" ref="A132">IFERROR(INDEX(tblunits[unitname],SMALL(IF((tblunits[nation]=$B$23)*(tblunits[division]=#REF!)*(tblunits[squadtype]=$D$7),ROW(tblunits[unitname])-MIN(ROW(tblunits[unitname]))+1),ROWS($A$83:A132))),"")</f>
        <v/>
      </c>
    </row>
    <row r="133" spans="1:1" x14ac:dyDescent="0.35">
      <c r="A133" s="2" t="str">
        <f t="array" ref="A133">IFERROR(INDEX(tblunits[unitname],SMALL(IF((tblunits[nation]=$B$23)*(tblunits[division]=#REF!)*(tblunits[squadtype]=$D$7),ROW(tblunits[unitname])-MIN(ROW(tblunits[unitname]))+1),ROWS($A$83:A133))),"")</f>
        <v/>
      </c>
    </row>
    <row r="134" spans="1:1" x14ac:dyDescent="0.35">
      <c r="A134" s="2" t="str">
        <f t="array" ref="A134">IFERROR(INDEX(tblunits[unitname],SMALL(IF((tblunits[nation]=$B$23)*(tblunits[division]=#REF!)*(tblunits[squadtype]=$D$7),ROW(tblunits[unitname])-MIN(ROW(tblunits[unitname]))+1),ROWS($A$83:A134))),"")</f>
        <v/>
      </c>
    </row>
    <row r="135" spans="1:1" x14ac:dyDescent="0.35">
      <c r="A135" s="2" t="str">
        <f t="array" ref="A135">IFERROR(INDEX(tblunits[unitname],SMALL(IF((tblunits[nation]=$B$23)*(tblunits[division]=#REF!)*(tblunits[squadtype]=$D$7),ROW(tblunits[unitname])-MIN(ROW(tblunits[unitname]))+1),ROWS($A$83:A135))),"")</f>
        <v/>
      </c>
    </row>
    <row r="136" spans="1:1" x14ac:dyDescent="0.35">
      <c r="A136" s="2" t="str">
        <f t="array" ref="A136">IFERROR(INDEX(tblunits[unitname],SMALL(IF((tblunits[nation]=$B$23)*(tblunits[division]=#REF!)*(tblunits[squadtype]=$D$7),ROW(tblunits[unitname])-MIN(ROW(tblunits[unitname]))+1),ROWS($A$83:A136))),"")</f>
        <v/>
      </c>
    </row>
    <row r="137" spans="1:1" x14ac:dyDescent="0.35">
      <c r="A137" s="2" t="str">
        <f t="array" ref="A137">IFERROR(INDEX(tblunits[unitname],SMALL(IF((tblunits[nation]=$B$23)*(tblunits[division]=#REF!)*(tblunits[squadtype]=$D$7),ROW(tblunits[unitname])-MIN(ROW(tblunits[unitname]))+1),ROWS($A$83:A137))),"")</f>
        <v/>
      </c>
    </row>
    <row r="138" spans="1:1" x14ac:dyDescent="0.35">
      <c r="A138" s="2" t="str">
        <f t="array" ref="A138">IFERROR(INDEX(tblunits[unitname],SMALL(IF((tblunits[nation]=$B$23)*(tblunits[division]=#REF!)*(tblunits[squadtype]=$D$7),ROW(tblunits[unitname])-MIN(ROW(tblunits[unitname]))+1),ROWS($A$83:A138))),"")</f>
        <v/>
      </c>
    </row>
    <row r="139" spans="1:1" x14ac:dyDescent="0.35">
      <c r="A139" s="2" t="str">
        <f t="array" ref="A139">IFERROR(INDEX(tblunits[unitname],SMALL(IF((tblunits[nation]=$B$23)*(tblunits[division]=#REF!)*(tblunits[squadtype]=$D$7),ROW(tblunits[unitname])-MIN(ROW(tblunits[unitname]))+1),ROWS($A$83:A139))),"")</f>
        <v/>
      </c>
    </row>
    <row r="140" spans="1:1" x14ac:dyDescent="0.35">
      <c r="A140" s="2" t="str">
        <f t="array" ref="A140">IFERROR(INDEX(tblunits[unitname],SMALL(IF((tblunits[nation]=$B$23)*(tblunits[division]=#REF!)*(tblunits[squadtype]=$D$7),ROW(tblunits[unitname])-MIN(ROW(tblunits[unitname]))+1),ROWS($A$83:A140))),"")</f>
        <v/>
      </c>
    </row>
    <row r="141" spans="1:1" x14ac:dyDescent="0.35">
      <c r="A141" s="2" t="str">
        <f t="array" ref="A141">IFERROR(INDEX(tblunits[unitname],SMALL(IF((tblunits[nation]=$B$23)*(tblunits[division]=#REF!)*(tblunits[squadtype]=$D$7),ROW(tblunits[unitname])-MIN(ROW(tblunits[unitname]))+1),ROWS($A$83:A141))),"")</f>
        <v/>
      </c>
    </row>
    <row r="142" spans="1:1" x14ac:dyDescent="0.35">
      <c r="A142" s="2" t="str">
        <f t="array" ref="A142">IFERROR(INDEX(tblunits[unitname],SMALL(IF((tblunits[nation]=$B$23)*(tblunits[division]=#REF!)*(tblunits[squadtype]=$D$7),ROW(tblunits[unitname])-MIN(ROW(tblunits[unitname]))+1),ROWS($A$83:A142))),"")</f>
        <v/>
      </c>
    </row>
    <row r="143" spans="1:1" x14ac:dyDescent="0.35">
      <c r="A143" s="2" t="str">
        <f t="array" ref="A143">IFERROR(INDEX(tblunits[unitname],SMALL(IF((tblunits[nation]=$B$23)*(tblunits[division]=#REF!)*(tblunits[squadtype]=$D$7),ROW(tblunits[unitname])-MIN(ROW(tblunits[unitname]))+1),ROWS($A$83:A143))),"")</f>
        <v/>
      </c>
    </row>
    <row r="144" spans="1:1" x14ac:dyDescent="0.35">
      <c r="A144" s="2" t="str">
        <f t="array" ref="A144">IFERROR(INDEX(tblunits[unitname],SMALL(IF((tblunits[nation]=$B$23)*(tblunits[division]=#REF!)*(tblunits[squadtype]=$D$7),ROW(tblunits[unitname])-MIN(ROW(tblunits[unitname]))+1),ROWS($A$83:A144))),"")</f>
        <v/>
      </c>
    </row>
    <row r="145" spans="1:1" x14ac:dyDescent="0.35">
      <c r="A145" s="2" t="str">
        <f t="array" ref="A145">IFERROR(INDEX(tblunits[unitname],SMALL(IF((tblunits[nation]=$B$23)*(tblunits[division]=#REF!)*(tblunits[squadtype]=$D$7),ROW(tblunits[unitname])-MIN(ROW(tblunits[unitname]))+1),ROWS($A$83:A145))),"")</f>
        <v/>
      </c>
    </row>
    <row r="146" spans="1:1" x14ac:dyDescent="0.35">
      <c r="A146" s="2" t="str">
        <f t="array" ref="A146">IFERROR(INDEX(tblunits[unitname],SMALL(IF((tblunits[nation]=$B$23)*(tblunits[division]=#REF!)*(tblunits[squadtype]=$D$7),ROW(tblunits[unitname])-MIN(ROW(tblunits[unitname]))+1),ROWS($A$83:A146))),"")</f>
        <v/>
      </c>
    </row>
    <row r="147" spans="1:1" x14ac:dyDescent="0.35">
      <c r="A147" s="2" t="str">
        <f t="array" ref="A147">IFERROR(INDEX(tblunits[unitname],SMALL(IF((tblunits[nation]=$B$23)*(tblunits[division]=#REF!)*(tblunits[squadtype]=$D$7),ROW(tblunits[unitname])-MIN(ROW(tblunits[unitname]))+1),ROWS($A$83:A147))),"")</f>
        <v/>
      </c>
    </row>
    <row r="148" spans="1:1" x14ac:dyDescent="0.35">
      <c r="A148" s="2" t="str">
        <f t="array" ref="A148">IFERROR(INDEX(tblunits[unitname],SMALL(IF((tblunits[nation]=$B$23)*(tblunits[division]=#REF!)*(tblunits[squadtype]=$D$7),ROW(tblunits[unitname])-MIN(ROW(tblunits[unitname]))+1),ROWS($A$83:A148))),"")</f>
        <v/>
      </c>
    </row>
    <row r="149" spans="1:1" x14ac:dyDescent="0.35">
      <c r="A149" s="2" t="str">
        <f t="array" ref="A149">IFERROR(INDEX(tblunits[unitname],SMALL(IF((tblunits[nation]=$B$23)*(tblunits[division]=#REF!)*(tblunits[squadtype]=$D$7),ROW(tblunits[unitname])-MIN(ROW(tblunits[unitname]))+1),ROWS($A$83:A149))),"")</f>
        <v/>
      </c>
    </row>
    <row r="150" spans="1:1" x14ac:dyDescent="0.35">
      <c r="A150" s="2" t="str">
        <f t="array" ref="A150">IFERROR(INDEX(tblunits[unitname],SMALL(IF((tblunits[nation]=$B$23)*(tblunits[division]=#REF!)*(tblunits[squadtype]=$D$7),ROW(tblunits[unitname])-MIN(ROW(tblunits[unitname]))+1),ROWS($A$83:A150))),"")</f>
        <v/>
      </c>
    </row>
    <row r="151" spans="1:1" x14ac:dyDescent="0.35">
      <c r="A151" s="2" t="str">
        <f t="array" ref="A151">IFERROR(INDEX(tblunits[unitname],SMALL(IF((tblunits[nation]=$B$23)*(tblunits[division]=#REF!)*(tblunits[squadtype]=$D$7),ROW(tblunits[unitname])-MIN(ROW(tblunits[unitname]))+1),ROWS($A$83:A151))),"")</f>
        <v/>
      </c>
    </row>
    <row r="152" spans="1:1" x14ac:dyDescent="0.35">
      <c r="A152" s="2" t="str">
        <f t="array" ref="A152">IFERROR(INDEX(tblunits[unitname],SMALL(IF((tblunits[nation]=$B$23)*(tblunits[division]=#REF!)*(tblunits[squadtype]=$D$7),ROW(tblunits[unitname])-MIN(ROW(tblunits[unitname]))+1),ROWS($A$83:A152))),"")</f>
        <v/>
      </c>
    </row>
    <row r="153" spans="1:1" x14ac:dyDescent="0.35">
      <c r="A153" s="2" t="str">
        <f t="array" ref="A153">IFERROR(INDEX(tblunits[unitname],SMALL(IF((tblunits[nation]=$B$23)*(tblunits[division]=#REF!)*(tblunits[squadtype]=$D$7),ROW(tblunits[unitname])-MIN(ROW(tblunits[unitname]))+1),ROWS($A$83:A153))),"")</f>
        <v/>
      </c>
    </row>
    <row r="154" spans="1:1" x14ac:dyDescent="0.35">
      <c r="A154" s="2" t="str">
        <f t="array" ref="A154">IFERROR(INDEX(tblunits[unitname],SMALL(IF((tblunits[nation]=$B$23)*(tblunits[division]=#REF!)*(tblunits[squadtype]=$D$7),ROW(tblunits[unitname])-MIN(ROW(tblunits[unitname]))+1),ROWS($A$83:A154))),"")</f>
        <v/>
      </c>
    </row>
    <row r="155" spans="1:1" x14ac:dyDescent="0.35">
      <c r="A155" s="2" t="str">
        <f t="array" ref="A155">IFERROR(INDEX(tblunits[unitname],SMALL(IF((tblunits[nation]=$B$23)*(tblunits[division]=#REF!)*(tblunits[squadtype]=$D$7),ROW(tblunits[unitname])-MIN(ROW(tblunits[unitname]))+1),ROWS($A$83:A155))),"")</f>
        <v/>
      </c>
    </row>
    <row r="156" spans="1:1" x14ac:dyDescent="0.35">
      <c r="A156" s="2" t="str">
        <f t="array" ref="A156">IFERROR(INDEX(tblunits[unitname],SMALL(IF((tblunits[nation]=$B$23)*(tblunits[division]=#REF!)*(tblunits[squadtype]=$D$7),ROW(tblunits[unitname])-MIN(ROW(tblunits[unitname]))+1),ROWS($A$83:A156))),"")</f>
        <v/>
      </c>
    </row>
    <row r="157" spans="1:1" x14ac:dyDescent="0.35">
      <c r="A157" s="2" t="str">
        <f t="array" ref="A157">IFERROR(INDEX(tblunits[unitname],SMALL(IF((tblunits[nation]=$B$23)*(tblunits[division]=#REF!)*(tblunits[squadtype]=$D$7),ROW(tblunits[unitname])-MIN(ROW(tblunits[unitname]))+1),ROWS($A$83:A157))),"")</f>
        <v/>
      </c>
    </row>
    <row r="158" spans="1:1" x14ac:dyDescent="0.35">
      <c r="A158" s="2" t="str">
        <f t="array" ref="A158">IFERROR(INDEX(tblunits[unitname],SMALL(IF((tblunits[nation]=$B$23)*(tblunits[division]=#REF!)*(tblunits[squadtype]=$D$7),ROW(tblunits[unitname])-MIN(ROW(tblunits[unitname]))+1),ROWS($A$83:A158))),"")</f>
        <v/>
      </c>
    </row>
    <row r="159" spans="1:1" x14ac:dyDescent="0.35">
      <c r="A159" s="2" t="str">
        <f t="array" ref="A159">IFERROR(INDEX(tblunits[unitname],SMALL(IF((tblunits[nation]=$B$23)*(tblunits[division]=#REF!)*(tblunits[squadtype]=$D$7),ROW(tblunits[unitname])-MIN(ROW(tblunits[unitname]))+1),ROWS($A$83:A159))),"")</f>
        <v/>
      </c>
    </row>
    <row r="160" spans="1:1" x14ac:dyDescent="0.35">
      <c r="A160" s="2" t="str">
        <f t="array" ref="A160">IFERROR(INDEX(tblunits[unitname],SMALL(IF((tblunits[nation]=$B$23)*(tblunits[division]=#REF!)*(tblunits[squadtype]=$D$7),ROW(tblunits[unitname])-MIN(ROW(tblunits[unitname]))+1),ROWS($A$83:A160))),"")</f>
        <v/>
      </c>
    </row>
    <row r="161" spans="1:1" x14ac:dyDescent="0.35">
      <c r="A161" s="2" t="str">
        <f t="array" ref="A161">IFERROR(INDEX(tblunits[unitname],SMALL(IF((tblunits[nation]=$B$23)*(tblunits[division]=#REF!)*(tblunits[squadtype]=$D$7),ROW(tblunits[unitname])-MIN(ROW(tblunits[unitname]))+1),ROWS($A$83:A161))),"")</f>
        <v/>
      </c>
    </row>
    <row r="162" spans="1:1" x14ac:dyDescent="0.35">
      <c r="A162" s="2" t="str">
        <f t="array" ref="A162">IFERROR(INDEX(tblunits[unitname],SMALL(IF((tblunits[nation]=$B$23)*(tblunits[division]=#REF!)*(tblunits[squadtype]=$D$7),ROW(tblunits[unitname])-MIN(ROW(tblunits[unitname]))+1),ROWS($A$83:A162))),"")</f>
        <v/>
      </c>
    </row>
    <row r="163" spans="1:1" x14ac:dyDescent="0.35">
      <c r="A163" s="2" t="str">
        <f t="array" ref="A163">IFERROR(INDEX(tblunits[unitname],SMALL(IF((tblunits[nation]=$B$23)*(tblunits[division]=#REF!)*(tblunits[squadtype]=$D$7),ROW(tblunits[unitname])-MIN(ROW(tblunits[unitname]))+1),ROWS($A$83:A163))),"")</f>
        <v/>
      </c>
    </row>
    <row r="164" spans="1:1" x14ac:dyDescent="0.35">
      <c r="A164" s="2" t="str">
        <f t="array" ref="A164">IFERROR(INDEX(tblunits[unitname],SMALL(IF((tblunits[nation]=$B$23)*(tblunits[division]=#REF!)*(tblunits[squadtype]=$D$7),ROW(tblunits[unitname])-MIN(ROW(tblunits[unitname]))+1),ROWS($A$83:A164))),"")</f>
        <v/>
      </c>
    </row>
    <row r="165" spans="1:1" x14ac:dyDescent="0.35">
      <c r="A165" s="2" t="str">
        <f t="array" ref="A165">IFERROR(INDEX(tblunits[unitname],SMALL(IF((tblunits[nation]=$B$23)*(tblunits[division]=#REF!)*(tblunits[squadtype]=$D$7),ROW(tblunits[unitname])-MIN(ROW(tblunits[unitname]))+1),ROWS($A$83:A165))),"")</f>
        <v/>
      </c>
    </row>
    <row r="166" spans="1:1" x14ac:dyDescent="0.35">
      <c r="A166" s="2" t="str">
        <f t="array" ref="A166">IFERROR(INDEX(tblunits[unitname],SMALL(IF((tblunits[nation]=$B$23)*(tblunits[division]=#REF!)*(tblunits[squadtype]=$D$7),ROW(tblunits[unitname])-MIN(ROW(tblunits[unitname]))+1),ROWS($A$83:A166))),"")</f>
        <v/>
      </c>
    </row>
    <row r="167" spans="1:1" x14ac:dyDescent="0.35">
      <c r="A167" s="2" t="str">
        <f t="array" ref="A167">IFERROR(INDEX(tblunits[unitname],SMALL(IF((tblunits[nation]=$B$23)*(tblunits[division]=#REF!)*(tblunits[squadtype]=$D$7),ROW(tblunits[unitname])-MIN(ROW(tblunits[unitname]))+1),ROWS($A$83:A167))),"")</f>
        <v/>
      </c>
    </row>
    <row r="168" spans="1:1" x14ac:dyDescent="0.35">
      <c r="A168" s="2" t="str">
        <f t="array" ref="A168">IFERROR(INDEX(tblunits[unitname],SMALL(IF((tblunits[nation]=$B$23)*(tblunits[division]=#REF!)*(tblunits[squadtype]=$D$7),ROW(tblunits[unitname])-MIN(ROW(tblunits[unitname]))+1),ROWS($A$83:A168))),"")</f>
        <v/>
      </c>
    </row>
    <row r="169" spans="1:1" x14ac:dyDescent="0.35">
      <c r="A169" s="2" t="str">
        <f t="array" ref="A169">IFERROR(INDEX(tblunits[unitname],SMALL(IF((tblunits[nation]=$B$23)*(tblunits[division]=#REF!)*(tblunits[squadtype]=$D$7),ROW(tblunits[unitname])-MIN(ROW(tblunits[unitname]))+1),ROWS($A$83:A169))),"")</f>
        <v/>
      </c>
    </row>
    <row r="170" spans="1:1" x14ac:dyDescent="0.35">
      <c r="A170" s="2" t="str">
        <f t="array" ref="A170">IFERROR(INDEX(tblunits[unitname],SMALL(IF((tblunits[nation]=$B$23)*(tblunits[division]=#REF!)*(tblunits[squadtype]=$D$7),ROW(tblunits[unitname])-MIN(ROW(tblunits[unitname]))+1),ROWS($A$83:A170))),"")</f>
        <v/>
      </c>
    </row>
    <row r="171" spans="1:1" x14ac:dyDescent="0.35">
      <c r="A171" s="2" t="str">
        <f t="array" ref="A171">IFERROR(INDEX(tblunits[unitname],SMALL(IF((tblunits[nation]=$B$23)*(tblunits[division]=#REF!)*(tblunits[squadtype]=$D$7),ROW(tblunits[unitname])-MIN(ROW(tblunits[unitname]))+1),ROWS($A$83:A171))),"")</f>
        <v/>
      </c>
    </row>
    <row r="172" spans="1:1" x14ac:dyDescent="0.35">
      <c r="A172" s="2" t="str">
        <f t="array" ref="A172">IFERROR(INDEX(tblunits[unitname],SMALL(IF((tblunits[nation]=$B$23)*(tblunits[division]=#REF!)*(tblunits[squadtype]=$D$7),ROW(tblunits[unitname])-MIN(ROW(tblunits[unitname]))+1),ROWS($A$83:A172))),"")</f>
        <v/>
      </c>
    </row>
    <row r="173" spans="1:1" x14ac:dyDescent="0.35">
      <c r="A173" s="2" t="str">
        <f t="array" ref="A173">IFERROR(INDEX(tblunits[unitname],SMALL(IF((tblunits[nation]=$B$23)*(tblunits[division]=#REF!)*(tblunits[squadtype]=$D$7),ROW(tblunits[unitname])-MIN(ROW(tblunits[unitname]))+1),ROWS($A$83:A173))),"")</f>
        <v/>
      </c>
    </row>
    <row r="174" spans="1:1" x14ac:dyDescent="0.35">
      <c r="A174" s="2" t="str">
        <f t="array" ref="A174">IFERROR(INDEX(tblunits[unitname],SMALL(IF((tblunits[nation]=$B$23)*(tblunits[division]=#REF!)*(tblunits[squadtype]=$D$7),ROW(tblunits[unitname])-MIN(ROW(tblunits[unitname]))+1),ROWS($A$83:A174))),"")</f>
        <v/>
      </c>
    </row>
    <row r="175" spans="1:1" x14ac:dyDescent="0.35">
      <c r="A175" s="2" t="str">
        <f t="array" ref="A175">IFERROR(INDEX(tblunits[unitname],SMALL(IF((tblunits[nation]=$B$23)*(tblunits[division]=#REF!)*(tblunits[squadtype]=$D$7),ROW(tblunits[unitname])-MIN(ROW(tblunits[unitname]))+1),ROWS($A$83:A175))),"")</f>
        <v/>
      </c>
    </row>
    <row r="176" spans="1:1" x14ac:dyDescent="0.35">
      <c r="A176" s="2" t="str">
        <f t="array" ref="A176">IFERROR(INDEX(tblunits[unitname],SMALL(IF((tblunits[nation]=$B$23)*(tblunits[division]=#REF!)*(tblunits[squadtype]=$D$7),ROW(tblunits[unitname])-MIN(ROW(tblunits[unitname]))+1),ROWS($A$83:A176))),"")</f>
        <v/>
      </c>
    </row>
    <row r="177" spans="1:1" x14ac:dyDescent="0.35">
      <c r="A177" s="2" t="str">
        <f t="array" ref="A177">IFERROR(INDEX(tblunits[unitname],SMALL(IF((tblunits[nation]=$B$23)*(tblunits[division]=#REF!)*(tblunits[squadtype]=$D$7),ROW(tblunits[unitname])-MIN(ROW(tblunits[unitname]))+1),ROWS($A$83:A177))),"")</f>
        <v/>
      </c>
    </row>
    <row r="178" spans="1:1" x14ac:dyDescent="0.35">
      <c r="A178" s="2" t="str">
        <f t="array" ref="A178">IFERROR(INDEX(tblunits[unitname],SMALL(IF((tblunits[nation]=$B$23)*(tblunits[division]=#REF!)*(tblunits[squadtype]=$D$7),ROW(tblunits[unitname])-MIN(ROW(tblunits[unitname]))+1),ROWS($A$83:A178))),"")</f>
        <v/>
      </c>
    </row>
    <row r="179" spans="1:1" x14ac:dyDescent="0.35">
      <c r="A179" s="2" t="str">
        <f t="array" ref="A179">IFERROR(INDEX(tblunits[unitname],SMALL(IF((tblunits[nation]=$B$23)*(tblunits[division]=#REF!)*(tblunits[squadtype]=$D$7),ROW(tblunits[unitname])-MIN(ROW(tblunits[unitname]))+1),ROWS($A$83:A179))),"")</f>
        <v/>
      </c>
    </row>
    <row r="180" spans="1:1" x14ac:dyDescent="0.35">
      <c r="A180" s="2" t="str">
        <f t="array" ref="A180">IFERROR(INDEX(tblunits[unitname],SMALL(IF((tblunits[nation]=$B$23)*(tblunits[division]=#REF!)*(tblunits[squadtype]=$D$7),ROW(tblunits[unitname])-MIN(ROW(tblunits[unitname]))+1),ROWS($A$83:A180))),"")</f>
        <v/>
      </c>
    </row>
    <row r="181" spans="1:1" x14ac:dyDescent="0.35">
      <c r="A181" s="2" t="str">
        <f t="array" ref="A181">IFERROR(INDEX(tblunits[unitname],SMALL(IF((tblunits[nation]=$B$23)*(tblunits[division]=#REF!)*(tblunits[squadtype]=$D$7),ROW(tblunits[unitname])-MIN(ROW(tblunits[unitname]))+1),ROWS($A$83:A181))),"")</f>
        <v/>
      </c>
    </row>
    <row r="182" spans="1:1" x14ac:dyDescent="0.35">
      <c r="A182" s="2" t="str">
        <f t="array" ref="A182">IFERROR(INDEX(tblunits[unitname],SMALL(IF((tblunits[nation]=$B$23)*(tblunits[division]=#REF!)*(tblunits[squadtype]=$D$7),ROW(tblunits[unitname])-MIN(ROW(tblunits[unitname]))+1),ROWS($A$83:A182))),"")</f>
        <v/>
      </c>
    </row>
    <row r="183" spans="1:1" x14ac:dyDescent="0.35">
      <c r="A183" s="2" t="str">
        <f t="array" ref="A183">IFERROR(INDEX(tblunits[unitname],SMALL(IF((tblunits[nation]=$B$23)*(tblunits[division]=#REF!)*(tblunits[squadtype]=$D$7),ROW(tblunits[unitname])-MIN(ROW(tblunits[unitname]))+1),ROWS($A$83:A183))),"")</f>
        <v/>
      </c>
    </row>
    <row r="184" spans="1:1" x14ac:dyDescent="0.35">
      <c r="A184" s="2" t="str">
        <f t="array" ref="A184">IFERROR(INDEX(tblunits[unitname],SMALL(IF((tblunits[nation]=$B$23)*(tblunits[division]=#REF!)*(tblunits[squadtype]=$D$7),ROW(tblunits[unitname])-MIN(ROW(tblunits[unitname]))+1),ROWS($A$83:A184))),"")</f>
        <v/>
      </c>
    </row>
    <row r="185" spans="1:1" x14ac:dyDescent="0.35">
      <c r="A185" s="2" t="str">
        <f t="array" ref="A185">IFERROR(INDEX(tblunits[unitname],SMALL(IF((tblunits[nation]=$B$23)*(tblunits[division]=#REF!)*(tblunits[squadtype]=$D$7),ROW(tblunits[unitname])-MIN(ROW(tblunits[unitname]))+1),ROWS($A$83:A185))),"")</f>
        <v/>
      </c>
    </row>
    <row r="186" spans="1:1" x14ac:dyDescent="0.35">
      <c r="A186" s="2" t="str">
        <f t="array" ref="A186">IFERROR(INDEX(tblunits[unitname],SMALL(IF((tblunits[nation]=$B$23)*(tblunits[division]=#REF!)*(tblunits[squadtype]=$D$7),ROW(tblunits[unitname])-MIN(ROW(tblunits[unitname]))+1),ROWS($A$83:A186))),"")</f>
        <v/>
      </c>
    </row>
    <row r="187" spans="1:1" x14ac:dyDescent="0.35">
      <c r="A187" s="2" t="str">
        <f t="array" ref="A187">IFERROR(INDEX(tblunits[unitname],SMALL(IF((tblunits[nation]=$B$23)*(tblunits[division]=#REF!)*(tblunits[squadtype]=$D$7),ROW(tblunits[unitname])-MIN(ROW(tblunits[unitname]))+1),ROWS($A$83:A187))),"")</f>
        <v/>
      </c>
    </row>
    <row r="188" spans="1:1" x14ac:dyDescent="0.35">
      <c r="A188" s="2" t="str">
        <f t="array" ref="A188">IFERROR(INDEX(tblunits[unitname],SMALL(IF((tblunits[nation]=$B$23)*(tblunits[division]=#REF!)*(tblunits[squadtype]=$D$7),ROW(tblunits[unitname])-MIN(ROW(tblunits[unitname]))+1),ROWS($A$83:A188))),"")</f>
        <v/>
      </c>
    </row>
    <row r="189" spans="1:1" x14ac:dyDescent="0.35">
      <c r="A189" s="2" t="str">
        <f t="array" ref="A189">IFERROR(INDEX(tblunits[unitname],SMALL(IF((tblunits[nation]=$B$23)*(tblunits[division]=#REF!)*(tblunits[squadtype]=$D$7),ROW(tblunits[unitname])-MIN(ROW(tblunits[unitname]))+1),ROWS($A$83:A189))),"")</f>
        <v/>
      </c>
    </row>
    <row r="190" spans="1:1" x14ac:dyDescent="0.35">
      <c r="A190" s="2" t="str">
        <f t="array" ref="A190">IFERROR(INDEX(tblunits[unitname],SMALL(IF((tblunits[nation]=$B$23)*(tblunits[division]=#REF!)*(tblunits[squadtype]=$D$7),ROW(tblunits[unitname])-MIN(ROW(tblunits[unitname]))+1),ROWS($A$83:A190))),"")</f>
        <v/>
      </c>
    </row>
    <row r="191" spans="1:1" x14ac:dyDescent="0.35">
      <c r="A191" s="2" t="str">
        <f t="array" ref="A191">IFERROR(INDEX(tblunits[unitname],SMALL(IF((tblunits[nation]=$B$23)*(tblunits[division]=#REF!)*(tblunits[squadtype]=$D$7),ROW(tblunits[unitname])-MIN(ROW(tblunits[unitname]))+1),ROWS($A$83:A191))),"")</f>
        <v/>
      </c>
    </row>
    <row r="192" spans="1:1" x14ac:dyDescent="0.35">
      <c r="A192" s="2" t="str">
        <f t="array" ref="A192">IFERROR(INDEX(tblunits[unitname],SMALL(IF((tblunits[nation]=$B$23)*(tblunits[division]=#REF!)*(tblunits[squadtype]=$D$7),ROW(tblunits[unitname])-MIN(ROW(tblunits[unitname]))+1),ROWS($A$83:A192))),"")</f>
        <v/>
      </c>
    </row>
    <row r="193" spans="1:1" x14ac:dyDescent="0.35">
      <c r="A193" s="2" t="str">
        <f t="array" ref="A193">IFERROR(INDEX(tblunits[unitname],SMALL(IF((tblunits[nation]=$B$23)*(tblunits[division]=#REF!)*(tblunits[squadtype]=$D$7),ROW(tblunits[unitname])-MIN(ROW(tblunits[unitname]))+1),ROWS($A$83:A193))),"")</f>
        <v/>
      </c>
    </row>
    <row r="194" spans="1:1" x14ac:dyDescent="0.35">
      <c r="A194" s="2" t="str">
        <f t="array" ref="A194">IFERROR(INDEX(tblunits[unitname],SMALL(IF((tblunits[nation]=$B$23)*(tblunits[division]=#REF!)*(tblunits[squadtype]=$D$7),ROW(tblunits[unitname])-MIN(ROW(tblunits[unitname]))+1),ROWS($A$83:A194))),"")</f>
        <v/>
      </c>
    </row>
    <row r="195" spans="1:1" x14ac:dyDescent="0.35">
      <c r="A195" s="2" t="str">
        <f t="array" ref="A195">IFERROR(INDEX(tblunits[unitname],SMALL(IF((tblunits[nation]=$B$23)*(tblunits[division]=#REF!)*(tblunits[squadtype]=$D$7),ROW(tblunits[unitname])-MIN(ROW(tblunits[unitname]))+1),ROWS($A$83:A195))),"")</f>
        <v/>
      </c>
    </row>
    <row r="196" spans="1:1" x14ac:dyDescent="0.35">
      <c r="A196" s="2" t="str">
        <f t="array" ref="A196">IFERROR(INDEX(tblunits[unitname],SMALL(IF((tblunits[nation]=$B$23)*(tblunits[division]=#REF!)*(tblunits[squadtype]=$D$7),ROW(tblunits[unitname])-MIN(ROW(tblunits[unitname]))+1),ROWS($A$83:A196))),"")</f>
        <v/>
      </c>
    </row>
    <row r="197" spans="1:1" x14ac:dyDescent="0.35">
      <c r="A197" s="2" t="str">
        <f t="array" ref="A197">IFERROR(INDEX(tblunits[unitname],SMALL(IF((tblunits[nation]=$B$23)*(tblunits[division]=#REF!)*(tblunits[squadtype]=$D$7),ROW(tblunits[unitname])-MIN(ROW(tblunits[unitname]))+1),ROWS($A$83:A197))),"")</f>
        <v/>
      </c>
    </row>
    <row r="198" spans="1:1" x14ac:dyDescent="0.35">
      <c r="A198" s="2" t="str">
        <f t="array" ref="A198">IFERROR(INDEX(tblunits[unitname],SMALL(IF((tblunits[nation]=$B$23)*(tblunits[division]=#REF!)*(tblunits[squadtype]=$D$7),ROW(tblunits[unitname])-MIN(ROW(tblunits[unitname]))+1),ROWS($A$83:A198))),"")</f>
        <v/>
      </c>
    </row>
    <row r="199" spans="1:1" x14ac:dyDescent="0.35">
      <c r="A199" s="2" t="str">
        <f t="array" ref="A199">IFERROR(INDEX(tblunits[unitname],SMALL(IF((tblunits[nation]=$B$23)*(tblunits[division]=#REF!)*(tblunits[squadtype]=$D$7),ROW(tblunits[unitname])-MIN(ROW(tblunits[unitname]))+1),ROWS($A$83:A199))),"")</f>
        <v/>
      </c>
    </row>
    <row r="200" spans="1:1" x14ac:dyDescent="0.35">
      <c r="A200" s="2" t="str">
        <f t="array" ref="A200">IFERROR(INDEX(tblunits[unitname],SMALL(IF((tblunits[nation]=$B$23)*(tblunits[division]=#REF!)*(tblunits[squadtype]=$D$7),ROW(tblunits[unitname])-MIN(ROW(tblunits[unitname]))+1),ROWS($A$83:A200))),"")</f>
        <v/>
      </c>
    </row>
    <row r="201" spans="1:1" x14ac:dyDescent="0.35">
      <c r="A201" s="2" t="str">
        <f t="array" ref="A201">IFERROR(INDEX(tblunits[unitname],SMALL(IF((tblunits[nation]=$B$23)*(tblunits[division]=#REF!)*(tblunits[squadtype]=$D$7),ROW(tblunits[unitname])-MIN(ROW(tblunits[unitname]))+1),ROWS($A$83:A201))),"")</f>
        <v/>
      </c>
    </row>
    <row r="202" spans="1:1" x14ac:dyDescent="0.35">
      <c r="A202" s="2" t="str">
        <f t="array" ref="A202">IFERROR(INDEX(tblunits[unitname],SMALL(IF((tblunits[nation]=$B$23)*(tblunits[division]=#REF!)*(tblunits[squadtype]=$D$7),ROW(tblunits[unitname])-MIN(ROW(tblunits[unitname]))+1),ROWS($A$83:A202))),"")</f>
        <v/>
      </c>
    </row>
    <row r="203" spans="1:1" x14ac:dyDescent="0.35">
      <c r="A203" s="2" t="str">
        <f t="array" ref="A203">IFERROR(INDEX(tblunits[unitname],SMALL(IF((tblunits[nation]=$B$23)*(tblunits[division]=#REF!)*(tblunits[squadtype]=$D$7),ROW(tblunits[unitname])-MIN(ROW(tblunits[unitname]))+1),ROWS($A$83:A203))),"")</f>
        <v/>
      </c>
    </row>
    <row r="204" spans="1:1" x14ac:dyDescent="0.35">
      <c r="A204" s="2" t="str">
        <f t="array" ref="A204">IFERROR(INDEX(tblunits[unitname],SMALL(IF((tblunits[nation]=$B$23)*(tblunits[division]=#REF!)*(tblunits[squadtype]=$D$7),ROW(tblunits[unitname])-MIN(ROW(tblunits[unitname]))+1),ROWS($A$83:A204))),"")</f>
        <v/>
      </c>
    </row>
    <row r="205" spans="1:1" x14ac:dyDescent="0.35">
      <c r="A205" s="2" t="str">
        <f t="array" ref="A205">IFERROR(INDEX(tblunits[unitname],SMALL(IF((tblunits[nation]=$B$23)*(tblunits[division]=#REF!)*(tblunits[squadtype]=$D$7),ROW(tblunits[unitname])-MIN(ROW(tblunits[unitname]))+1),ROWS($A$83:A205))),"")</f>
        <v/>
      </c>
    </row>
    <row r="206" spans="1:1" x14ac:dyDescent="0.35">
      <c r="A206" s="2" t="str">
        <f t="array" ref="A206">IFERROR(INDEX(tblunits[unitname],SMALL(IF((tblunits[nation]=$B$23)*(tblunits[division]=#REF!)*(tblunits[squadtype]=$D$7),ROW(tblunits[unitname])-MIN(ROW(tblunits[unitname]))+1),ROWS($A$83:A206))),"")</f>
        <v/>
      </c>
    </row>
    <row r="207" spans="1:1" x14ac:dyDescent="0.35">
      <c r="A207" s="2" t="str">
        <f t="array" ref="A207">IFERROR(INDEX(tblunits[unitname],SMALL(IF((tblunits[nation]=$B$23)*(tblunits[division]=#REF!)*(tblunits[squadtype]=$D$7),ROW(tblunits[unitname])-MIN(ROW(tblunits[unitname]))+1),ROWS($A$83:A207))),"")</f>
        <v/>
      </c>
    </row>
    <row r="208" spans="1:1" x14ac:dyDescent="0.35">
      <c r="A208" s="2" t="str">
        <f t="array" ref="A208">IFERROR(INDEX(tblunits[unitname],SMALL(IF((tblunits[nation]=$B$23)*(tblunits[division]=#REF!)*(tblunits[squadtype]=$D$7),ROW(tblunits[unitname])-MIN(ROW(tblunits[unitname]))+1),ROWS($A$83:A208))),"")</f>
        <v/>
      </c>
    </row>
    <row r="209" spans="1:1" x14ac:dyDescent="0.35">
      <c r="A209" s="2" t="str">
        <f t="array" ref="A209">IFERROR(INDEX(tblunits[unitname],SMALL(IF((tblunits[nation]=$B$23)*(tblunits[division]=#REF!)*(tblunits[squadtype]=$D$7),ROW(tblunits[unitname])-MIN(ROW(tblunits[unitname]))+1),ROWS($A$83:A209))),"")</f>
        <v/>
      </c>
    </row>
    <row r="210" spans="1:1" x14ac:dyDescent="0.35">
      <c r="A210" s="2" t="str">
        <f t="array" ref="A210">IFERROR(INDEX(tblunits[unitname],SMALL(IF((tblunits[nation]=$B$23)*(tblunits[division]=#REF!)*(tblunits[squadtype]=$D$7),ROW(tblunits[unitname])-MIN(ROW(tblunits[unitname]))+1),ROWS($A$83:A210))),"")</f>
        <v/>
      </c>
    </row>
    <row r="211" spans="1:1" x14ac:dyDescent="0.35">
      <c r="A211" s="2" t="str">
        <f t="array" ref="A211">IFERROR(INDEX(tblunits[unitname],SMALL(IF((tblunits[nation]=$B$23)*(tblunits[division]=#REF!)*(tblunits[squadtype]=$D$7),ROW(tblunits[unitname])-MIN(ROW(tblunits[unitname]))+1),ROWS($A$83:A211))),"")</f>
        <v/>
      </c>
    </row>
    <row r="212" spans="1:1" x14ac:dyDescent="0.35">
      <c r="A212" s="2" t="str">
        <f t="array" ref="A212">IFERROR(INDEX(tblunits[unitname],SMALL(IF((tblunits[nation]=$B$23)*(tblunits[division]=#REF!)*(tblunits[squadtype]=$D$7),ROW(tblunits[unitname])-MIN(ROW(tblunits[unitname]))+1),ROWS($A$83:A212))),"")</f>
        <v/>
      </c>
    </row>
    <row r="213" spans="1:1" x14ac:dyDescent="0.35">
      <c r="A213" s="2" t="str">
        <f t="array" ref="A213">IFERROR(INDEX(tblunits[unitname],SMALL(IF((tblunits[nation]=$B$23)*(tblunits[division]=#REF!)*(tblunits[squadtype]=$D$7),ROW(tblunits[unitname])-MIN(ROW(tblunits[unitname]))+1),ROWS($A$83:A213))),"")</f>
        <v/>
      </c>
    </row>
    <row r="214" spans="1:1" x14ac:dyDescent="0.35">
      <c r="A214" s="2" t="str">
        <f t="array" ref="A214">IFERROR(INDEX(tblunits[unitname],SMALL(IF((tblunits[nation]=$B$23)*(tblunits[division]=#REF!)*(tblunits[squadtype]=$D$7),ROW(tblunits[unitname])-MIN(ROW(tblunits[unitname]))+1),ROWS($A$83:A214))),"")</f>
        <v/>
      </c>
    </row>
    <row r="215" spans="1:1" x14ac:dyDescent="0.35">
      <c r="A215" s="2" t="str">
        <f t="array" ref="A215">IFERROR(INDEX(tblunits[unitname],SMALL(IF((tblunits[nation]=$B$23)*(tblunits[division]=#REF!)*(tblunits[squadtype]=$D$7),ROW(tblunits[unitname])-MIN(ROW(tblunits[unitname]))+1),ROWS($A$83:A215))),"")</f>
        <v/>
      </c>
    </row>
    <row r="216" spans="1:1" x14ac:dyDescent="0.35">
      <c r="A216" s="2" t="str">
        <f t="array" ref="A216">IFERROR(INDEX(tblunits[unitname],SMALL(IF((tblunits[nation]=$B$23)*(tblunits[division]=#REF!)*(tblunits[squadtype]=$D$7),ROW(tblunits[unitname])-MIN(ROW(tblunits[unitname]))+1),ROWS($A$83:A216))),"")</f>
        <v/>
      </c>
    </row>
    <row r="217" spans="1:1" x14ac:dyDescent="0.35">
      <c r="A217" s="2" t="str">
        <f t="array" ref="A217">IFERROR(INDEX(tblunits[unitname],SMALL(IF((tblunits[nation]=$B$23)*(tblunits[division]=#REF!)*(tblunits[squadtype]=$D$7),ROW(tblunits[unitname])-MIN(ROW(tblunits[unitname]))+1),ROWS($A$83:A217))),"")</f>
        <v/>
      </c>
    </row>
    <row r="218" spans="1:1" x14ac:dyDescent="0.35">
      <c r="A218" s="2" t="str">
        <f t="array" ref="A218">IFERROR(INDEX(tblunits[unitname],SMALL(IF((tblunits[nation]=$B$23)*(tblunits[division]=#REF!)*(tblunits[squadtype]=$D$7),ROW(tblunits[unitname])-MIN(ROW(tblunits[unitname]))+1),ROWS($A$83:A218))),"")</f>
        <v/>
      </c>
    </row>
    <row r="219" spans="1:1" x14ac:dyDescent="0.35">
      <c r="A219" s="2" t="str">
        <f t="array" ref="A219">IFERROR(INDEX(tblunits[unitname],SMALL(IF((tblunits[nation]=$B$23)*(tblunits[division]=#REF!)*(tblunits[squadtype]=$D$7),ROW(tblunits[unitname])-MIN(ROW(tblunits[unitname]))+1),ROWS($A$83:A219))),"")</f>
        <v/>
      </c>
    </row>
    <row r="220" spans="1:1" x14ac:dyDescent="0.35">
      <c r="A220" s="2" t="str">
        <f t="array" ref="A220">IFERROR(INDEX(tblunits[unitname],SMALL(IF((tblunits[nation]=$B$23)*(tblunits[division]=#REF!)*(tblunits[squadtype]=$D$7),ROW(tblunits[unitname])-MIN(ROW(tblunits[unitname]))+1),ROWS($A$83:A220))),"")</f>
        <v/>
      </c>
    </row>
    <row r="221" spans="1:1" x14ac:dyDescent="0.35">
      <c r="A221" s="2" t="str">
        <f t="array" ref="A221">IFERROR(INDEX(tblunits[unitname],SMALL(IF((tblunits[nation]=$B$23)*(tblunits[division]=#REF!)*(tblunits[squadtype]=$D$7),ROW(tblunits[unitname])-MIN(ROW(tblunits[unitname]))+1),ROWS($A$83:A221))),"")</f>
        <v/>
      </c>
    </row>
    <row r="222" spans="1:1" x14ac:dyDescent="0.35">
      <c r="A222" s="2" t="str">
        <f t="array" ref="A222">IFERROR(INDEX(tblunits[unitname],SMALL(IF((tblunits[nation]=$B$23)*(tblunits[division]=#REF!)*(tblunits[squadtype]=$D$7),ROW(tblunits[unitname])-MIN(ROW(tblunits[unitname]))+1),ROWS($A$83:A222))),"")</f>
        <v/>
      </c>
    </row>
  </sheetData>
  <mergeCells count="5">
    <mergeCell ref="H21:H25"/>
    <mergeCell ref="A26:A28"/>
    <mergeCell ref="A29:A31"/>
    <mergeCell ref="A32:A34"/>
    <mergeCell ref="A35:A37"/>
  </mergeCells>
  <conditionalFormatting sqref="J40">
    <cfRule type="expression" dxfId="271" priority="73">
      <formula>IF($J$40&lt;$A$16,FALSE,IF($J$40&lt;$A$16*$B$15,TRUE,FALSE))</formula>
    </cfRule>
    <cfRule type="cellIs" dxfId="270" priority="74" operator="greaterThan">
      <formula>$A$16*$B$15</formula>
    </cfRule>
    <cfRule type="cellIs" dxfId="269" priority="75" operator="lessThan">
      <formula>$A$16</formula>
    </cfRule>
  </conditionalFormatting>
  <conditionalFormatting sqref="E4">
    <cfRule type="expression" dxfId="268" priority="61">
      <formula>AND(D2="special_forces_3",D4="asset_team")</formula>
    </cfRule>
    <cfRule type="expression" dxfId="267" priority="62">
      <formula>AND(D2="special_forces_2",D4="asset_team")</formula>
    </cfRule>
    <cfRule type="expression" dxfId="266" priority="70">
      <formula>AND(D2="special_forces_1",D4="asset_team")</formula>
    </cfRule>
    <cfRule type="expression" dxfId="265" priority="72">
      <formula>IF(D2="asset_squad",TRUE,FALSE)</formula>
    </cfRule>
  </conditionalFormatting>
  <conditionalFormatting sqref="E9">
    <cfRule type="expression" dxfId="264" priority="57">
      <formula>AND(D7="special_forces_3",D9="asset_team")</formula>
    </cfRule>
    <cfRule type="expression" dxfId="263" priority="58">
      <formula>AND(D7="special_forces_2",D9="asset_team")</formula>
    </cfRule>
    <cfRule type="expression" dxfId="262" priority="59">
      <formula>AND(D7="special_forces_1",D9="asset_team")</formula>
    </cfRule>
    <cfRule type="expression" dxfId="261" priority="60">
      <formula>IF(D7="asset_squad",TRUE,FALSE)</formula>
    </cfRule>
  </conditionalFormatting>
  <conditionalFormatting sqref="E14">
    <cfRule type="expression" dxfId="260" priority="53">
      <formula>AND(D12="special_forces_3",D14="asset_team")</formula>
    </cfRule>
    <cfRule type="expression" dxfId="259" priority="54">
      <formula>AND(D12="special_forces_2",D14="asset_team")</formula>
    </cfRule>
    <cfRule type="expression" dxfId="258" priority="55">
      <formula>AND(D12="special_forces_1",D14="asset_team")</formula>
    </cfRule>
    <cfRule type="expression" dxfId="257" priority="56">
      <formula>IF(D12="asset_squad",TRUE,FALSE)</formula>
    </cfRule>
  </conditionalFormatting>
  <conditionalFormatting sqref="E19">
    <cfRule type="expression" dxfId="256" priority="49">
      <formula>AND(D17="special_forces_3",D19="asset_team")</formula>
    </cfRule>
    <cfRule type="expression" dxfId="255" priority="50">
      <formula>AND(D17="special_forces_2",D19="asset_team")</formula>
    </cfRule>
    <cfRule type="expression" dxfId="254" priority="51">
      <formula>AND(D17="special_forces_1",D19="asset_team")</formula>
    </cfRule>
    <cfRule type="expression" dxfId="253" priority="52">
      <formula>IF(D17="asset_squad",TRUE,FALSE)</formula>
    </cfRule>
  </conditionalFormatting>
  <conditionalFormatting sqref="E24">
    <cfRule type="expression" dxfId="252" priority="45">
      <formula>AND(D22="special_forces_3",D24="asset_team")</formula>
    </cfRule>
    <cfRule type="expression" dxfId="251" priority="46">
      <formula>AND(D22="special_forces_2",D24="asset_team")</formula>
    </cfRule>
    <cfRule type="expression" dxfId="250" priority="47">
      <formula>AND(D22="special_forces_1",D24="asset_team")</formula>
    </cfRule>
    <cfRule type="expression" dxfId="249" priority="48">
      <formula>IF(D22="asset_squad",TRUE,FALSE)</formula>
    </cfRule>
  </conditionalFormatting>
  <conditionalFormatting sqref="E29">
    <cfRule type="expression" dxfId="248" priority="41">
      <formula>AND(D27="special_forces_3",D29="asset_team")</formula>
    </cfRule>
    <cfRule type="expression" dxfId="247" priority="42">
      <formula>AND(D27="special_forces_2",D29="asset_team")</formula>
    </cfRule>
    <cfRule type="expression" dxfId="246" priority="43">
      <formula>AND(D27="special_forces_1",D29="asset_team")</formula>
    </cfRule>
    <cfRule type="expression" dxfId="245" priority="44">
      <formula>IF(D27="asset_squad",TRUE,FALSE)</formula>
    </cfRule>
  </conditionalFormatting>
  <conditionalFormatting sqref="E34">
    <cfRule type="expression" dxfId="244" priority="37">
      <formula>AND(D32="special_forces_3",D34="asset_team")</formula>
    </cfRule>
    <cfRule type="expression" dxfId="243" priority="38">
      <formula>AND(D32="special_forces_2",D34="asset_team")</formula>
    </cfRule>
    <cfRule type="expression" dxfId="242" priority="39">
      <formula>AND(D32="special_forces_1",D34="asset_team")</formula>
    </cfRule>
    <cfRule type="expression" dxfId="241" priority="40">
      <formula>IF(D32="asset_squad",TRUE,FALSE)</formula>
    </cfRule>
  </conditionalFormatting>
  <conditionalFormatting sqref="E39">
    <cfRule type="expression" dxfId="240" priority="33">
      <formula>AND(D37="special_forces_3",D39="asset_team")</formula>
    </cfRule>
    <cfRule type="expression" dxfId="239" priority="34">
      <formula>AND(D37="special_forces_2",D39="asset_team")</formula>
    </cfRule>
    <cfRule type="expression" dxfId="238" priority="35">
      <formula>AND(D37="special_forces_1",D39="asset_team")</formula>
    </cfRule>
    <cfRule type="expression" dxfId="237" priority="36">
      <formula>IF(D37="asset_squad",TRUE,FALSE)</formula>
    </cfRule>
  </conditionalFormatting>
  <conditionalFormatting sqref="E3">
    <cfRule type="expression" dxfId="236" priority="29">
      <formula>IF(D2="special_forces_3",TRUE,FALSE)</formula>
    </cfRule>
    <cfRule type="expression" dxfId="235" priority="30">
      <formula>IF(D2="special_forces_2",TRUE,FALSE)</formula>
    </cfRule>
    <cfRule type="expression" dxfId="234" priority="32">
      <formula>IF(D2="special_forces_1",TRUE,FALSE)</formula>
    </cfRule>
  </conditionalFormatting>
  <conditionalFormatting sqref="E3">
    <cfRule type="expression" dxfId="233" priority="31">
      <formula>AND(D1="special_forces_1",D3="asset_team")</formula>
    </cfRule>
  </conditionalFormatting>
  <conditionalFormatting sqref="E8">
    <cfRule type="expression" dxfId="232" priority="25">
      <formula>IF(D7="special_forces_3",TRUE,FALSE)</formula>
    </cfRule>
    <cfRule type="expression" dxfId="231" priority="26">
      <formula>IF(D7="special_forces_2",TRUE,FALSE)</formula>
    </cfRule>
    <cfRule type="expression" dxfId="230" priority="28">
      <formula>IF(D7="special_forces_1",TRUE,FALSE)</formula>
    </cfRule>
  </conditionalFormatting>
  <conditionalFormatting sqref="E8">
    <cfRule type="expression" dxfId="229" priority="27">
      <formula>AND(D6="special_forces_1",D8="asset_team")</formula>
    </cfRule>
  </conditionalFormatting>
  <conditionalFormatting sqref="E13">
    <cfRule type="expression" dxfId="228" priority="21">
      <formula>IF(D12="special_forces_3",TRUE,FALSE)</formula>
    </cfRule>
    <cfRule type="expression" dxfId="227" priority="22">
      <formula>IF(D12="special_forces_2",TRUE,FALSE)</formula>
    </cfRule>
    <cfRule type="expression" dxfId="226" priority="24">
      <formula>IF(D12="special_forces_1",TRUE,FALSE)</formula>
    </cfRule>
  </conditionalFormatting>
  <conditionalFormatting sqref="E13">
    <cfRule type="expression" dxfId="225" priority="23">
      <formula>AND(D11="special_forces_1",D13="asset_team")</formula>
    </cfRule>
  </conditionalFormatting>
  <conditionalFormatting sqref="E18">
    <cfRule type="expression" dxfId="224" priority="17">
      <formula>IF(D17="special_forces_3",TRUE,FALSE)</formula>
    </cfRule>
    <cfRule type="expression" dxfId="223" priority="18">
      <formula>IF(D17="special_forces_2",TRUE,FALSE)</formula>
    </cfRule>
    <cfRule type="expression" dxfId="222" priority="20">
      <formula>IF(D17="special_forces_1",TRUE,FALSE)</formula>
    </cfRule>
  </conditionalFormatting>
  <conditionalFormatting sqref="E18">
    <cfRule type="expression" dxfId="221" priority="19">
      <formula>AND(D16="special_forces_1",D18="asset_team")</formula>
    </cfRule>
  </conditionalFormatting>
  <conditionalFormatting sqref="E23">
    <cfRule type="expression" dxfId="220" priority="13">
      <formula>IF(D22="special_forces_3",TRUE,FALSE)</formula>
    </cfRule>
    <cfRule type="expression" dxfId="219" priority="14">
      <formula>IF(D22="special_forces_2",TRUE,FALSE)</formula>
    </cfRule>
    <cfRule type="expression" dxfId="218" priority="16">
      <formula>IF(D22="special_forces_1",TRUE,FALSE)</formula>
    </cfRule>
  </conditionalFormatting>
  <conditionalFormatting sqref="E23">
    <cfRule type="expression" dxfId="217" priority="15">
      <formula>AND(D21="special_forces_1",D23="asset_team")</formula>
    </cfRule>
  </conditionalFormatting>
  <conditionalFormatting sqref="E28">
    <cfRule type="expression" dxfId="216" priority="9">
      <formula>IF(D27="special_forces_3",TRUE,FALSE)</formula>
    </cfRule>
    <cfRule type="expression" dxfId="215" priority="10">
      <formula>IF(D27="special_forces_2",TRUE,FALSE)</formula>
    </cfRule>
    <cfRule type="expression" dxfId="214" priority="12">
      <formula>IF(D27="special_forces_1",TRUE,FALSE)</formula>
    </cfRule>
  </conditionalFormatting>
  <conditionalFormatting sqref="E28">
    <cfRule type="expression" dxfId="213" priority="11">
      <formula>AND(D26="special_forces_1",D28="asset_team")</formula>
    </cfRule>
  </conditionalFormatting>
  <conditionalFormatting sqref="E33">
    <cfRule type="expression" dxfId="212" priority="5">
      <formula>IF(D32="special_forces_3",TRUE,FALSE)</formula>
    </cfRule>
    <cfRule type="expression" dxfId="211" priority="6">
      <formula>IF(D32="special_forces_2",TRUE,FALSE)</formula>
    </cfRule>
    <cfRule type="expression" dxfId="210" priority="8">
      <formula>IF(D32="special_forces_1",TRUE,FALSE)</formula>
    </cfRule>
  </conditionalFormatting>
  <conditionalFormatting sqref="E33">
    <cfRule type="expression" dxfId="209" priority="7">
      <formula>AND(D31="special_forces_1",D33="asset_team")</formula>
    </cfRule>
  </conditionalFormatting>
  <conditionalFormatting sqref="E38">
    <cfRule type="expression" dxfId="208" priority="1">
      <formula>IF(D37="special_forces_3",TRUE,FALSE)</formula>
    </cfRule>
    <cfRule type="expression" dxfId="207" priority="2">
      <formula>IF(D37="special_forces_2",TRUE,FALSE)</formula>
    </cfRule>
    <cfRule type="expression" dxfId="206" priority="4">
      <formula>IF(D37="special_forces_1",TRUE,FALSE)</formula>
    </cfRule>
  </conditionalFormatting>
  <conditionalFormatting sqref="E38">
    <cfRule type="expression" dxfId="205" priority="3">
      <formula>AND(D36="special_forces_1",D38="asset_team")</formula>
    </cfRule>
  </conditionalFormatting>
  <dataValidations count="2">
    <dataValidation type="list" allowBlank="1" showInputMessage="1" showErrorMessage="1" sqref="D34">
      <formula1>$I$2:$I$3</formula1>
    </dataValidation>
    <dataValidation type="list" allowBlank="1" showInputMessage="1" showErrorMessage="1" sqref="D2 D7 D12 D17 D22 D27 D32 D37">
      <formula1>"standard_squad,Asset_Squad,feildgun_squad,special_forces_1,special_forces_2,special_forces_3"</formula1>
    </dataValidation>
  </dataValidations>
  <pageMargins left="3.937007874015748E-2" right="0" top="3.937007874015748E-2" bottom="0" header="0" footer="0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clearsquad3">
                <anchor moveWithCells="1" sizeWithCells="1">
                  <from>
                    <xdr:col>2</xdr:col>
                    <xdr:colOff>635000</xdr:colOff>
                    <xdr:row>19</xdr:row>
                    <xdr:rowOff>158750</xdr:rowOff>
                  </from>
                  <to>
                    <xdr:col>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ClearAllSquadsAndVehicles">
                <anchor moveWithCells="1" sizeWithCells="1">
                  <from>
                    <xdr:col>0</xdr:col>
                    <xdr:colOff>12700</xdr:colOff>
                    <xdr:row>22</xdr:row>
                    <xdr:rowOff>12700</xdr:rowOff>
                  </from>
                  <to>
                    <xdr:col>0</xdr:col>
                    <xdr:colOff>1873250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Button 4">
              <controlPr defaultSize="0" print="0" autoFill="0" autoPict="0" macro="[0]!validatearmyandsendtosetup">
                <anchor moveWithCells="1" sizeWithCells="1">
                  <from>
                    <xdr:col>0</xdr:col>
                    <xdr:colOff>0</xdr:colOff>
                    <xdr:row>18</xdr:row>
                    <xdr:rowOff>177800</xdr:rowOff>
                  </from>
                  <to>
                    <xdr:col>0</xdr:col>
                    <xdr:colOff>1873250</xdr:colOff>
                    <xdr:row>21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Button 5">
              <controlPr defaultSize="0" print="0" autoFill="0" autoPict="0" macro="[0]!cleardefences">
                <anchor moveWithCells="1" siz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Button 6">
              <controlPr defaultSize="0" print="0" autoFill="0" autoPict="0" macro="[0]!clearsquadBGC">
                <anchor moveWithCells="1" sizeWithCells="1">
                  <from>
                    <xdr:col>2</xdr:col>
                    <xdr:colOff>596900</xdr:colOff>
                    <xdr:row>4</xdr:row>
                    <xdr:rowOff>165100</xdr:rowOff>
                  </from>
                  <to>
                    <xdr:col>3</xdr:col>
                    <xdr:colOff>577850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Button 7">
              <controlPr defaultSize="0" print="0" autoFill="0" autoPict="0" macro="[0]!clearsquad7">
                <anchor moveWithCells="1" sizeWithCells="1">
                  <from>
                    <xdr:col>2</xdr:col>
                    <xdr:colOff>603250</xdr:colOff>
                    <xdr:row>39</xdr:row>
                    <xdr:rowOff>177800</xdr:rowOff>
                  </from>
                  <to>
                    <xdr:col>3</xdr:col>
                    <xdr:colOff>584200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Button 8">
              <controlPr defaultSize="0" print="0" autoFill="0" autoPict="0" macro="[0]!clearsquad1">
                <anchor moveWithCells="1" sizeWithCells="1">
                  <from>
                    <xdr:col>2</xdr:col>
                    <xdr:colOff>565150</xdr:colOff>
                    <xdr:row>9</xdr:row>
                    <xdr:rowOff>177800</xdr:rowOff>
                  </from>
                  <to>
                    <xdr:col>3</xdr:col>
                    <xdr:colOff>558800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Button 9">
              <controlPr defaultSize="0" print="0" autoFill="0" autoPict="0" macro="[0]!clearsquad2">
                <anchor moveWithCells="1" sizeWithCells="1">
                  <from>
                    <xdr:col>2</xdr:col>
                    <xdr:colOff>628650</xdr:colOff>
                    <xdr:row>14</xdr:row>
                    <xdr:rowOff>177800</xdr:rowOff>
                  </from>
                  <to>
                    <xdr:col>3</xdr:col>
                    <xdr:colOff>590550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Button 10">
              <controlPr defaultSize="0" print="0" autoFill="0" autoPict="0" macro="[0]!clearsquad4">
                <anchor moveWithCells="1" sizeWithCells="1">
                  <from>
                    <xdr:col>2</xdr:col>
                    <xdr:colOff>603250</xdr:colOff>
                    <xdr:row>24</xdr:row>
                    <xdr:rowOff>190500</xdr:rowOff>
                  </from>
                  <to>
                    <xdr:col>3</xdr:col>
                    <xdr:colOff>577850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Button 11">
              <controlPr defaultSize="0" print="0" autoFill="0" autoPict="0" macro="[0]!clearsquad5">
                <anchor moveWithCells="1" sizeWithCells="1">
                  <from>
                    <xdr:col>2</xdr:col>
                    <xdr:colOff>590550</xdr:colOff>
                    <xdr:row>30</xdr:row>
                    <xdr:rowOff>0</xdr:rowOff>
                  </from>
                  <to>
                    <xdr:col>3</xdr:col>
                    <xdr:colOff>558800</xdr:colOff>
                    <xdr:row>30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Button 12">
              <controlPr defaultSize="0" print="0" autoFill="0" autoPict="0" macro="[0]!clearsquad6">
                <anchor moveWithCells="1" sizeWithCells="1">
                  <from>
                    <xdr:col>2</xdr:col>
                    <xdr:colOff>615950</xdr:colOff>
                    <xdr:row>35</xdr:row>
                    <xdr:rowOff>0</xdr:rowOff>
                  </from>
                  <to>
                    <xdr:col>3</xdr:col>
                    <xdr:colOff>590550</xdr:colOff>
                    <xdr:row>35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'divs nats data base'!$I$2:$I$3</xm:f>
          </x14:formula1>
          <xm:sqref>D14</xm:sqref>
        </x14:dataValidation>
        <x14:dataValidation type="list" allowBlank="1" showInputMessage="1" showErrorMessage="1">
          <x14:formula1>
            <xm:f>'divs nats data base'!$I$2:$I$3</xm:f>
          </x14:formula1>
          <xm:sqref>D19</xm:sqref>
        </x14:dataValidation>
        <x14:dataValidation type="list" allowBlank="1" showInputMessage="1" showErrorMessage="1">
          <x14:formula1>
            <xm:f>'divs nats data base'!$I$2:$I$3</xm:f>
          </x14:formula1>
          <xm:sqref>D24</xm:sqref>
        </x14:dataValidation>
        <x14:dataValidation type="list" allowBlank="1" showInputMessage="1" showErrorMessage="1">
          <x14:formula1>
            <xm:f>'divs nats data base'!$I$2:$I$3</xm:f>
          </x14:formula1>
          <xm:sqref>D29</xm:sqref>
        </x14:dataValidation>
        <x14:dataValidation type="list" allowBlank="1" showInputMessage="1" showErrorMessage="1">
          <x14:formula1>
            <xm:f>'divs nats data base'!$I$2:$I$3</xm:f>
          </x14:formula1>
          <xm:sqref>D39</xm:sqref>
        </x14:dataValidation>
        <x14:dataValidation type="list" allowBlank="1" showInputMessage="1" showErrorMessage="1">
          <x14:formula1>
            <xm:f>'divs nats data base'!$I$2:$I$3</xm:f>
          </x14:formula1>
          <xm:sqref>D9</xm:sqref>
        </x14:dataValidation>
        <x14:dataValidation type="list" allowBlank="1" showInputMessage="1" showErrorMessage="1">
          <x14:formula1>
            <xm:f>INDIRECT(SUBSTITUTE(setup!$B$5 &amp; setup!$B$7 &amp; C5," ",""))</xm:f>
          </x14:formula1>
          <xm:sqref>E5 E20 E15 E25 E30 E35 E40 E10</xm:sqref>
        </x14:dataValidation>
        <x14:dataValidation type="list" allowBlank="1" showInputMessage="1" showErrorMessage="1">
          <x14:formula1>
            <xm:f>'divs nats data base'!$I$2:$I$3</xm:f>
          </x14:formula1>
          <xm:sqref>D4</xm:sqref>
        </x14:dataValidation>
        <x14:dataValidation type="list" allowBlank="1" showInputMessage="1" showErrorMessage="1">
          <x14:formula1>
            <xm:f>'unit calc'!$L$39:$L$41</xm:f>
          </x14:formula1>
          <xm:sqref>A13</xm:sqref>
        </x14:dataValidation>
        <x14:dataValidation type="list" allowBlank="1" showInputMessage="1" showErrorMessage="1">
          <x14:formula1>
            <xm:f>'unit calc'!$A$124:$A$125</xm:f>
          </x14:formula1>
          <xm:sqref>E33 E28 E3 E8 E13 E18 E23 E38</xm:sqref>
        </x14:dataValidation>
        <x14:dataValidation type="list" allowBlank="1" showInputMessage="1" showErrorMessage="1">
          <x14:formula1>
            <xm:f>'SF1'!$F$6:$F$7</xm:f>
          </x14:formula1>
          <xm:sqref>E42</xm:sqref>
        </x14:dataValidation>
        <x14:dataValidation type="list" allowBlank="1" showInputMessage="1" showErrorMessage="1">
          <x14:formula1>
            <xm:f>INDIRECT(SUBSTITUTE(setup!$B$5 &amp; setup!$B$7 &amp; D2," ",""))</xm:f>
          </x14:formula1>
          <xm:sqref>E43 E7 E12 E17 E22 E27 E32 E37 E2 E24 E4 E9 E29 E34 E14 E19 E39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N222"/>
  <sheetViews>
    <sheetView zoomScale="60" zoomScaleNormal="60" workbookViewId="0">
      <selection activeCell="E2" sqref="E2"/>
    </sheetView>
  </sheetViews>
  <sheetFormatPr defaultRowHeight="14.5" x14ac:dyDescent="0.35"/>
  <cols>
    <col min="1" max="1" width="27.08984375" customWidth="1"/>
    <col min="2" max="2" width="2.1796875" customWidth="1"/>
    <col min="3" max="3" width="17.1796875" customWidth="1"/>
    <col min="4" max="4" width="23" bestFit="1" customWidth="1"/>
    <col min="5" max="5" width="23.1796875" bestFit="1" customWidth="1"/>
    <col min="6" max="6" width="9.7265625" bestFit="1" customWidth="1"/>
    <col min="7" max="7" width="51.453125" customWidth="1"/>
    <col min="8" max="8" width="3" customWidth="1"/>
    <col min="9" max="9" width="19.90625" customWidth="1"/>
    <col min="10" max="10" width="8.453125" customWidth="1"/>
    <col min="11" max="11" width="2.453125" customWidth="1"/>
    <col min="12" max="12" width="10.54296875" customWidth="1"/>
  </cols>
  <sheetData>
    <row r="1" spans="1:12" ht="15" thickBot="1" x14ac:dyDescent="0.4">
      <c r="A1">
        <f>setup!B2</f>
        <v>0</v>
      </c>
      <c r="D1" s="18" t="s">
        <v>69</v>
      </c>
      <c r="E1" s="1" t="s">
        <v>28</v>
      </c>
      <c r="F1" s="18" t="s">
        <v>0</v>
      </c>
      <c r="G1" s="1" t="s">
        <v>1</v>
      </c>
      <c r="H1" s="1"/>
      <c r="I1" s="1" t="s">
        <v>374</v>
      </c>
      <c r="J1" s="1" t="s">
        <v>0</v>
      </c>
    </row>
    <row r="2" spans="1:12" ht="15.5" thickTop="1" thickBot="1" x14ac:dyDescent="0.4">
      <c r="A2">
        <f>setup!B3</f>
        <v>0</v>
      </c>
      <c r="C2" s="223" t="s">
        <v>547</v>
      </c>
      <c r="D2" s="277" t="s">
        <v>368</v>
      </c>
      <c r="E2" s="291"/>
      <c r="F2" s="224">
        <f>IF(ISBLANK(E2),0,IF(D2='divs nats data base'!G$2,VLOOKUP(E2,standardsquads[#All],setup!C$9+1,FALSE),IF(D2='divs nats data base'!G$3,VLOOKUP(E2,assetsquads[#All],setup!C$9+1,FALSE),IF(D2='divs nats data base'!G$4,VLOOKUP(E2,feildgunsquads[#All],setup!C$9+1,FALSE),IF(D2='divs nats data base'!G$5,VLOOKUP(E2,built_SF[#All],setup!$C$9+1,FALSE),IF(D2='divs nats data base'!G$6,VLOOKUP(E2,built_SF[#All],setup!$C$9+1,FALSE),IF(D2='divs nats data base'!G$7,VLOOKUP(E2,built_SF[#All],setup!$C$9+1,FALSE))))))))</f>
        <v>0</v>
      </c>
      <c r="G2" s="225" t="str">
        <f ca="1">SUBSTITUTE(
IF(D2='divs nats data base'!G$2,VLOOKUP(E2,standardsquads[#All],3,FALSE),
IF(D2='divs nats data base'!G$3,VLOOKUP(E2,assetsquads[#All],3,FALSE),
IF(D2='divs nats data base'!G$4,VLOOKUP(E2,feildgunsquads[#All],3,FALSE),
IF(D2='divs nats data base'!G$5,VLOOKUP(E2,built_SF[#All],3,FALSE),IF(D2='divs nats data base'!G$6,VLOOKUP(E2,built_SF[#All],3,FALSE),IF(D2='divs nats data base'!G$7,VLOOKUP(E2,built_SF[#All],3,FALSE),"")))))),
"SL","BGC")</f>
        <v>0</v>
      </c>
      <c r="I2" s="68"/>
      <c r="J2" s="17">
        <f>IF(ISBLANK(I2),0,VLOOKUP(I2,crewedtanks[#All],setup!$C$9+1,FALSE))</f>
        <v>0</v>
      </c>
    </row>
    <row r="3" spans="1:12" ht="15" thickBot="1" x14ac:dyDescent="0.4">
      <c r="A3" t="str">
        <f>setup!B5</f>
        <v>USA</v>
      </c>
      <c r="C3" s="76" t="s">
        <v>535</v>
      </c>
      <c r="D3" s="13"/>
      <c r="E3" s="69"/>
      <c r="F3" s="72">
        <f>IF(ISBLANK(E3),0,VLOOKUP(E3,upgrades[#All],setup!C$9+1,FALSE))</f>
        <v>0</v>
      </c>
      <c r="G3" s="105">
        <f ca="1">VLOOKUP(E3,upgrades[#All],2,FALSE)</f>
        <v>0</v>
      </c>
      <c r="I3" s="68"/>
      <c r="J3" s="17">
        <f>IF(ISBLANK(I3),0,VLOOKUP(I3,crewedtanks[#All],setup!$C$9+1,FALSE))</f>
        <v>0</v>
      </c>
    </row>
    <row r="4" spans="1:12" ht="15" thickBot="1" x14ac:dyDescent="0.4">
      <c r="A4" t="str">
        <f>setup!B7</f>
        <v>infantry</v>
      </c>
      <c r="C4" s="76" t="s">
        <v>49</v>
      </c>
      <c r="D4" s="203" t="s">
        <v>548</v>
      </c>
      <c r="E4" s="68"/>
      <c r="F4" s="72">
        <f>IF(ISBLANK(E4),0,IF(D4='divs nats data base'!I$3,VLOOKUP(E4,feildgunassets[#All],setup!C$9+1,FALSE),VLOOKUP(E4,assetteams[#All],setup!C$9+1,FALSE)))</f>
        <v>0</v>
      </c>
      <c r="G4" s="105">
        <f ca="1">IF(D4='divs nats data base'!I2,VLOOKUP(E4,assetteams[#All],3,FALSE),VLOOKUP(E4,feildgunassets[#All],3,FALSE))</f>
        <v>0</v>
      </c>
      <c r="I4" s="68"/>
      <c r="J4" s="17">
        <f>IF(ISBLANK(I4),0,VLOOKUP(I4,crewedtanks[#All],setup!$C$9+1,FALSE))</f>
        <v>0</v>
      </c>
    </row>
    <row r="5" spans="1:12" ht="15" thickBot="1" x14ac:dyDescent="0.4">
      <c r="A5" t="str">
        <f>setup!B9</f>
        <v>trained</v>
      </c>
      <c r="C5" s="76" t="s">
        <v>50</v>
      </c>
      <c r="D5" s="13"/>
      <c r="E5" s="68"/>
      <c r="F5" s="72">
        <f>IF(ISBLANK(E5),0,VLOOKUP(E5,uncrewedvehicles[#All],setup!C$9+1,FALSE))</f>
        <v>0</v>
      </c>
      <c r="G5" s="105">
        <f ca="1">VLOOKUP(E5,uncrewedvehicles[],3,FALSE)</f>
        <v>0</v>
      </c>
      <c r="I5" s="68"/>
      <c r="J5" s="17">
        <f>IF(ISBLANK(I5),0,VLOOKUP(I5,crewedtanks[#All],setup!$C$9+1,FALSE))</f>
        <v>0</v>
      </c>
    </row>
    <row r="6" spans="1:12" ht="15" thickBot="1" x14ac:dyDescent="0.4">
      <c r="A6" s="1" t="s">
        <v>391</v>
      </c>
      <c r="C6" s="226"/>
      <c r="D6" s="226"/>
      <c r="E6" s="227" t="s">
        <v>10</v>
      </c>
      <c r="F6" s="228">
        <f>SUM(F2:F5)</f>
        <v>0</v>
      </c>
      <c r="G6" s="229"/>
      <c r="I6" s="68"/>
      <c r="J6" s="17">
        <f>IF(ISBLANK(I6),0,VLOOKUP(I6,crewedtanks[#All],setup!$C$9+1,FALSE))</f>
        <v>0</v>
      </c>
    </row>
    <row r="7" spans="1:12" ht="15.5" thickTop="1" thickBot="1" x14ac:dyDescent="0.4">
      <c r="A7" s="139"/>
      <c r="C7" s="220" t="s">
        <v>90</v>
      </c>
      <c r="D7" s="221" t="s">
        <v>368</v>
      </c>
      <c r="E7" s="222"/>
      <c r="F7" s="72">
        <f>IF(ISBLANK(E7),0,IF(D7='divs nats data base'!G$2,VLOOKUP(E7,standardsquads[#All],setup!C$9+1,FALSE),IF(D7='divs nats data base'!G$3,VLOOKUP(E7,assetsquads[#All],setup!C$9+1,FALSE),IF(D7='divs nats data base'!G$4,VLOOKUP(E7,feildgunsquads[#All],setup!C$9+1,FALSE),IF(D7='divs nats data base'!G$5,VLOOKUP(E7,built_SF[#All],setup!$C$9+1,FALSE),IF(D7='divs nats data base'!G$6,VLOOKUP(E7,built_SF[#All],setup!$C$9+1,FALSE),IF(D7='divs nats data base'!G$7,VLOOKUP(E7,built_SF[#All],setup!$C$9+1,FALSE))))))))</f>
        <v>0</v>
      </c>
      <c r="G7" s="105">
        <f ca="1">IF(D7='divs nats data base'!G$2,VLOOKUP(E7,standardsquads[#All],3,FALSE),IF(D7='divs nats data base'!G$3,VLOOKUP(E7,assetsquads[#All],3,FALSE),IF(D7='divs nats data base'!G$4,VLOOKUP(E7,feildgunsquads[#All],3,FALSE),IF(D7='divs nats data base'!G$5,VLOOKUP(E7,built_SF[#All],3,FALSE),IF(D7='divs nats data base'!G$6,VLOOKUP(E7,built_SF[#All],3,FALSE),IF(D7='divs nats data base'!G$7,VLOOKUP(E7,built_SF[#All],3,FALSE)))))))</f>
        <v>0</v>
      </c>
      <c r="I7" s="68"/>
      <c r="J7" s="17">
        <f>IF(ISBLANK(I7),0,VLOOKUP(I7,crewedtanks[#All],setup!$C$9+1,FALSE))</f>
        <v>0</v>
      </c>
    </row>
    <row r="8" spans="1:12" ht="15" thickBot="1" x14ac:dyDescent="0.4">
      <c r="A8" s="59"/>
      <c r="C8" s="76" t="s">
        <v>535</v>
      </c>
      <c r="D8" s="13"/>
      <c r="E8" s="69"/>
      <c r="F8" s="72">
        <f>IF(ISBLANK(E8),0,VLOOKUP(E8,upgrades[#All],setup!C$9+1,FALSE))</f>
        <v>0</v>
      </c>
      <c r="G8" s="105">
        <f ca="1">VLOOKUP(E8,upgrades[#All],2,FALSE)</f>
        <v>0</v>
      </c>
      <c r="I8" s="68"/>
      <c r="J8" s="17">
        <f>IF(ISBLANK(I8),0,VLOOKUP(I8,crewedtanks[#All],setup!$C$9+1,FALSE))</f>
        <v>0</v>
      </c>
    </row>
    <row r="9" spans="1:12" ht="15" thickBot="1" x14ac:dyDescent="0.4">
      <c r="A9" s="1" t="s">
        <v>112</v>
      </c>
      <c r="C9" s="76" t="s">
        <v>49</v>
      </c>
      <c r="D9" s="203" t="s">
        <v>548</v>
      </c>
      <c r="E9" s="68"/>
      <c r="F9" s="72">
        <f>IF(ISBLANK(E9),0,IF(D9='divs nats data base'!I$3,VLOOKUP(E9,feildgunassets[#All],setup!C$9+1,FALSE),VLOOKUP(E9,assetteams[#All],setup!C$9+1,FALSE)))</f>
        <v>0</v>
      </c>
      <c r="G9" s="105">
        <f ca="1">IF(D9='divs nats data base'!I2,VLOOKUP(E9,assetteams[#All],3,FALSE),VLOOKUP(E9,feildgunassets[#All],3,FALSE))</f>
        <v>0</v>
      </c>
      <c r="I9" s="68"/>
      <c r="J9" s="17">
        <f>IF(ISBLANK(I9),0,VLOOKUP(I9,crewedtanks[#All],setup!$C$9+1,FALSE))</f>
        <v>0</v>
      </c>
    </row>
    <row r="10" spans="1:12" ht="15" thickBot="1" x14ac:dyDescent="0.4">
      <c r="A10" s="139">
        <v>10000</v>
      </c>
      <c r="C10" s="76" t="s">
        <v>50</v>
      </c>
      <c r="E10" s="68"/>
      <c r="F10" s="72">
        <f>IF(ISBLANK(E10),0,VLOOKUP(E10,uncrewedvehicles[#All],setup!C$9+1,FALSE))</f>
        <v>0</v>
      </c>
      <c r="G10" s="105">
        <f ca="1">VLOOKUP(E10,uncrewedvehicles[],3,FALSE)</f>
        <v>0</v>
      </c>
      <c r="I10" s="68"/>
      <c r="J10" s="17">
        <f>IF(ISBLANK(I10),0,VLOOKUP(I10,crewedtanks[#All],setup!$C$9+1,FALSE))</f>
        <v>0</v>
      </c>
    </row>
    <row r="11" spans="1:12" ht="15" thickBot="1" x14ac:dyDescent="0.4">
      <c r="A11" s="1"/>
      <c r="C11" s="76"/>
      <c r="D11" s="76"/>
      <c r="E11" s="230" t="s">
        <v>10</v>
      </c>
      <c r="F11" s="231">
        <f>SUM(F7:F10)</f>
        <v>0</v>
      </c>
      <c r="G11" s="105"/>
      <c r="I11" s="68"/>
      <c r="J11" s="17">
        <f>IF(ISBLANK(I11),0,VLOOKUP(I11,crewedtanks[#All],setup!$C$9+1,FALSE))</f>
        <v>0</v>
      </c>
    </row>
    <row r="12" spans="1:12" ht="15.5" thickTop="1" thickBot="1" x14ac:dyDescent="0.4">
      <c r="A12" s="18" t="s">
        <v>108</v>
      </c>
      <c r="B12" t="str">
        <f>IF(A13="attack",1.25,"1")</f>
        <v>1</v>
      </c>
      <c r="C12" s="223" t="s">
        <v>91</v>
      </c>
      <c r="D12" s="232" t="s">
        <v>365</v>
      </c>
      <c r="E12" s="233"/>
      <c r="F12" s="224">
        <f>IF(ISBLANK(E12),0,IF(D12='divs nats data base'!G$2,VLOOKUP(E12,standardsquads[#All],setup!C$9+1,FALSE),IF(D12='divs nats data base'!G$3,VLOOKUP(E12,assetsquads[#All],setup!C$9+1,FALSE),IF(D12='divs nats data base'!G$4,VLOOKUP(E12,feildgunsquads[#All],setup!C$9+1,FALSE),IF(D12='divs nats data base'!G$5,VLOOKUP(E12,built_SF[#All],setup!$C$9+1,FALSE),IF(D12='divs nats data base'!G$6,VLOOKUP(E12,built_SF[#All],setup!$C$9+1,FALSE),IF(D12='divs nats data base'!G$7,VLOOKUP(E12,built_SF[#All],setup!$C$9+1,FALSE))))))))</f>
        <v>0</v>
      </c>
      <c r="G12" s="225">
        <f ca="1">IF(D12='divs nats data base'!G$2,VLOOKUP(E12,standardsquads[#All],3,FALSE),IF(D12='divs nats data base'!G$3,VLOOKUP(E12,assetsquads[#All],3,FALSE),IF(D12='divs nats data base'!G$4,VLOOKUP(E12,feildgunsquads[#All],3,FALSE),IF(D12='divs nats data base'!G$5,VLOOKUP(E12,built_SF[#All],3,FALSE),IF(D12='divs nats data base'!G$6,VLOOKUP(E12,built_SF[#All],3,FALSE),IF(D12='divs nats data base'!G$7,VLOOKUP(E12,built_SF[#All],3,FALSE)))))))</f>
        <v>0</v>
      </c>
      <c r="I12" s="68"/>
      <c r="J12" s="17">
        <f>IF(ISBLANK(I12),0,VLOOKUP(I12,crewedtanks[#All],setup!$C$9+1,FALSE))</f>
        <v>0</v>
      </c>
      <c r="L12" t="s">
        <v>74</v>
      </c>
    </row>
    <row r="13" spans="1:12" ht="15" thickBot="1" x14ac:dyDescent="0.4">
      <c r="A13" s="66" t="s">
        <v>19</v>
      </c>
      <c r="C13" s="76" t="s">
        <v>535</v>
      </c>
      <c r="D13" s="13"/>
      <c r="E13" s="69"/>
      <c r="F13" s="72">
        <f>IF(ISBLANK(E13),0,VLOOKUP(E13,upgrades[#All],setup!C$9+1,FALSE))</f>
        <v>0</v>
      </c>
      <c r="G13" s="105">
        <f ca="1">VLOOKUP(E13,upgrades[#All],2,FALSE)</f>
        <v>0</v>
      </c>
      <c r="I13" s="68"/>
      <c r="J13" s="17">
        <f>IF(ISBLANK(I13),0,VLOOKUP(I13,crewedtanks[#All],setup!$C$9+1,FALSE))</f>
        <v>0</v>
      </c>
    </row>
    <row r="14" spans="1:12" ht="15" thickBot="1" x14ac:dyDescent="0.4">
      <c r="C14" s="76" t="s">
        <v>49</v>
      </c>
      <c r="D14" s="203" t="s">
        <v>504</v>
      </c>
      <c r="E14" s="68"/>
      <c r="F14" s="72">
        <f>IF(ISBLANK(E14),0,IF(D14='divs nats data base'!I$3,VLOOKUP(E14,feildgunassets[#All],setup!C$9+1,FALSE),VLOOKUP(E14,assetteams[#All],setup!C$9+1,FALSE)))</f>
        <v>0</v>
      </c>
      <c r="G14" s="105">
        <f ca="1">IF(D14='divs nats data base'!I2,VLOOKUP(E14,assetteams[#All],3,FALSE),VLOOKUP(E14,feildgunassets[#All],3,FALSE))</f>
        <v>0</v>
      </c>
      <c r="I14" s="68"/>
      <c r="J14" s="17">
        <f>IF(ISBLANK(I14),0,VLOOKUP(I14,crewedtanks[#All],setup!$C$9+1,FALSE))</f>
        <v>0</v>
      </c>
    </row>
    <row r="15" spans="1:12" ht="15" thickBot="1" x14ac:dyDescent="0.4">
      <c r="A15" s="1" t="s">
        <v>109</v>
      </c>
      <c r="B15">
        <v>1.0109999999999999</v>
      </c>
      <c r="C15" s="76" t="s">
        <v>50</v>
      </c>
      <c r="D15" s="13"/>
      <c r="E15" s="68"/>
      <c r="F15" s="72">
        <f>IF(ISBLANK(E15),0,VLOOKUP(E15,uncrewedvehicles[#All],setup!C$9+1,FALSE))</f>
        <v>0</v>
      </c>
      <c r="G15" s="105">
        <f ca="1">VLOOKUP(E15,uncrewedvehicles[],3,FALSE)</f>
        <v>0</v>
      </c>
      <c r="I15" s="68"/>
      <c r="J15" s="17">
        <f>IF(ISBLANK(I15),0,VLOOKUP(I15,crewedtanks[#All],setup!$C$9+1,FALSE))</f>
        <v>0</v>
      </c>
    </row>
    <row r="16" spans="1:12" ht="15" thickBot="1" x14ac:dyDescent="0.4">
      <c r="A16" s="8">
        <f>SUM(A10*B12)</f>
        <v>10000</v>
      </c>
      <c r="C16" s="226"/>
      <c r="D16" s="226"/>
      <c r="E16" s="227" t="s">
        <v>10</v>
      </c>
      <c r="F16" s="228">
        <f>SUM(F12:F15)</f>
        <v>0</v>
      </c>
      <c r="G16" s="229"/>
      <c r="I16" s="68"/>
      <c r="J16" s="17">
        <f>IF(ISBLANK(I16),0,VLOOKUP(I16,crewedtanks[#All],setup!$C$9+1,FALSE))</f>
        <v>0</v>
      </c>
    </row>
    <row r="17" spans="1:14" ht="15" thickBot="1" x14ac:dyDescent="0.4">
      <c r="C17" s="220" t="s">
        <v>92</v>
      </c>
      <c r="D17" s="221" t="s">
        <v>106</v>
      </c>
      <c r="E17" s="222"/>
      <c r="F17" s="72">
        <f>IF(ISBLANK(E17),0,IF(D17='divs nats data base'!G$2,VLOOKUP(E17,standardsquads[#All],setup!C$9+1,FALSE),IF(D17='divs nats data base'!G$3,VLOOKUP(E17,assetsquads[#All],setup!C$9+1,FALSE),IF(D17='divs nats data base'!G$4,VLOOKUP(E17,feildgunsquads[#All],setup!C$9+1,FALSE),IF(D17='divs nats data base'!G$5,VLOOKUP(E17,built_SF[#All],setup!$C$9+1,FALSE),IF(D17='divs nats data base'!G$6,VLOOKUP(E17,built_SF[#All],setup!$C$9+1,FALSE),IF(D17='divs nats data base'!G$7,VLOOKUP(E17,built_SF[#All],setup!$C$9+1,FALSE))))))))</f>
        <v>0</v>
      </c>
      <c r="G17" s="105">
        <f ca="1">IF(D17='divs nats data base'!G$2,VLOOKUP(E17,standardsquads[#All],3,FALSE),IF(D17='divs nats data base'!G$3,VLOOKUP(E17,assetsquads[#All],3,FALSE),IF(D17='divs nats data base'!G$4,VLOOKUP(E17,feildgunsquads[#All],3,FALSE),IF(D17='divs nats data base'!G$5,VLOOKUP(E17,built_SF[#All],3,FALSE),IF(D17='divs nats data base'!G$6,VLOOKUP(E17,built_SF[#All],3,FALSE),IF(D17='divs nats data base'!G$7,VLOOKUP(E17,built_SF[#All],3,FALSE)))))))</f>
        <v>0</v>
      </c>
    </row>
    <row r="18" spans="1:14" ht="15" thickBot="1" x14ac:dyDescent="0.4">
      <c r="A18" s="1" t="s">
        <v>107</v>
      </c>
      <c r="C18" s="76" t="s">
        <v>535</v>
      </c>
      <c r="D18" s="13"/>
      <c r="E18" s="69"/>
      <c r="F18" s="72">
        <f>IF(ISBLANK(E18),0,VLOOKUP(E18,upgrades[#All],setup!C$9+1,FALSE))</f>
        <v>0</v>
      </c>
      <c r="G18" s="105">
        <f ca="1">VLOOKUP(E18,upgrades[#All],2,FALSE)</f>
        <v>0</v>
      </c>
      <c r="I18" t="s">
        <v>105</v>
      </c>
      <c r="J18" s="151">
        <f>SUM(J2:J16)</f>
        <v>0</v>
      </c>
    </row>
    <row r="19" spans="1:14" ht="15" thickBot="1" x14ac:dyDescent="0.4">
      <c r="A19" t="str">
        <f>A1&amp;"."&amp;A2&amp;"."&amp;A3&amp;"."&amp;A4&amp;"."&amp;A5&amp;"."&amp;A7&amp;"."&amp;A10&amp;"."&amp;A13&amp;"."&amp;setup!B28&amp;""</f>
        <v>0.0.USA.infantry.trained..10000.neutral.7.1.0</v>
      </c>
      <c r="B19">
        <v>1</v>
      </c>
      <c r="C19" s="76" t="s">
        <v>49</v>
      </c>
      <c r="D19" s="204" t="s">
        <v>504</v>
      </c>
      <c r="E19" s="68"/>
      <c r="F19" s="72">
        <f>IF(ISBLANK(E19),0,IF(D19='divs nats data base'!I$3,VLOOKUP(E19,feildgunassets[#All],setup!C$9+1,FALSE),VLOOKUP(E19,assetteams[#All],setup!C$9+1,FALSE)))</f>
        <v>0</v>
      </c>
      <c r="G19" s="105">
        <f ca="1">IF(D19='divs nats data base'!I2,VLOOKUP(E19,assetteams[#All],3,FALSE),VLOOKUP(E19,feildgunassets[#All],3,FALSE))</f>
        <v>0</v>
      </c>
    </row>
    <row r="20" spans="1:14" ht="15" thickBot="1" x14ac:dyDescent="0.4">
      <c r="C20" s="76" t="s">
        <v>50</v>
      </c>
      <c r="D20" s="13"/>
      <c r="E20" s="68"/>
      <c r="F20" s="72">
        <f>IF(ISBLANK(E20),0,VLOOKUP(E20,uncrewedvehicles[#All],setup!C$9+1,FALSE))</f>
        <v>0</v>
      </c>
      <c r="G20" s="105">
        <f ca="1">VLOOKUP(E20,uncrewedvehicles[],3,FALSE)</f>
        <v>0</v>
      </c>
    </row>
    <row r="21" spans="1:14" ht="15" thickBot="1" x14ac:dyDescent="0.4">
      <c r="B21" s="59"/>
      <c r="C21" s="76"/>
      <c r="D21" s="76"/>
      <c r="E21" s="230" t="s">
        <v>10</v>
      </c>
      <c r="F21" s="231">
        <f>SUM(F17:F20)</f>
        <v>0</v>
      </c>
      <c r="G21" s="105"/>
      <c r="H21" s="298" t="s">
        <v>241</v>
      </c>
    </row>
    <row r="22" spans="1:14" ht="15.5" thickTop="1" thickBot="1" x14ac:dyDescent="0.4">
      <c r="A22" s="59"/>
      <c r="B22" s="67"/>
      <c r="C22" s="223" t="s">
        <v>93</v>
      </c>
      <c r="D22" s="232" t="s">
        <v>365</v>
      </c>
      <c r="E22" s="233"/>
      <c r="F22" s="224">
        <f>IF(ISBLANK(E22),0,IF(D22='divs nats data base'!G$2,VLOOKUP(E22,standardsquads[#All],setup!C$9+1,FALSE),IF(D22='divs nats data base'!G$3,VLOOKUP(E22,assetsquads[#All],setup!C$9+1,FALSE),IF(D22='divs nats data base'!G$4,VLOOKUP(E22,feildgunsquads[#All],setup!C$9+1,FALSE),IF(D22='divs nats data base'!G$5,VLOOKUP(E22,built_SF[#All],setup!$C$9+1,FALSE),IF(D22='divs nats data base'!G$6,VLOOKUP(E22,built_SF[#All],setup!$C$9+1,FALSE),IF(D22='divs nats data base'!G$7,VLOOKUP(E22,built_SF[#All],setup!$C$9+1,FALSE))))))))</f>
        <v>0</v>
      </c>
      <c r="G22" s="225">
        <f ca="1">IF(D22='divs nats data base'!G$2,VLOOKUP(E22,standardsquads[#All],3,FALSE),IF(D22='divs nats data base'!G$3,VLOOKUP(E22,assetsquads[#All],3,FALSE),IF(D22='divs nats data base'!G$4,VLOOKUP(E22,feildgunsquads[#All],3,FALSE),IF(D22='divs nats data base'!G$5,VLOOKUP(E22,built_SF[#All],3,FALSE),IF(D22='divs nats data base'!G$6,VLOOKUP(E22,built_SF[#All],3,FALSE),IF(D22='divs nats data base'!G$7,VLOOKUP(E22,built_SF[#All],3,FALSE)))))))</f>
        <v>0</v>
      </c>
      <c r="H22" s="299"/>
    </row>
    <row r="23" spans="1:14" ht="19" thickBot="1" x14ac:dyDescent="0.5">
      <c r="A23" s="202"/>
      <c r="B23" s="59"/>
      <c r="C23" s="76" t="s">
        <v>535</v>
      </c>
      <c r="D23" s="13"/>
      <c r="E23" s="69"/>
      <c r="F23" s="72">
        <f>IF(ISBLANK(E23),0,VLOOKUP(E23,upgrades[#All],setup!C$9+1,FALSE))</f>
        <v>0</v>
      </c>
      <c r="G23" s="105">
        <f ca="1">VLOOKUP(E23,upgrades[#All],2,FALSE)</f>
        <v>0</v>
      </c>
      <c r="H23" s="299"/>
    </row>
    <row r="24" spans="1:14" ht="15" thickBot="1" x14ac:dyDescent="0.4">
      <c r="A24" s="67"/>
      <c r="B24" s="59"/>
      <c r="C24" s="76" t="s">
        <v>49</v>
      </c>
      <c r="D24" s="203" t="s">
        <v>504</v>
      </c>
      <c r="E24" s="68"/>
      <c r="F24" s="72">
        <f>IF(ISBLANK(E24),0,IF(D24='divs nats data base'!I$3,VLOOKUP(E24,feildgunassets[#All],setup!C$9+1,FALSE),VLOOKUP(E24,assetteams[#All],setup!C$9+1,FALSE)))</f>
        <v>0</v>
      </c>
      <c r="G24" s="105">
        <f ca="1">IF(D24='divs nats data base'!I2,VLOOKUP(E24,assetteams[#All],3,FALSE),VLOOKUP(E24,feildgunassets[#All],3,FALSE))</f>
        <v>0</v>
      </c>
      <c r="H24" s="299"/>
    </row>
    <row r="25" spans="1:14" ht="15" thickBot="1" x14ac:dyDescent="0.4">
      <c r="A25" s="67"/>
      <c r="C25" s="76" t="s">
        <v>50</v>
      </c>
      <c r="D25" s="13"/>
      <c r="E25" s="68"/>
      <c r="F25" s="72">
        <f>IF(ISBLANK(E25),0,VLOOKUP(E25,uncrewedvehicles[#All],setup!C$9+1,FALSE))</f>
        <v>0</v>
      </c>
      <c r="G25" s="105">
        <f ca="1">VLOOKUP(E25,uncrewedvehicles[],3,FALSE)</f>
        <v>0</v>
      </c>
      <c r="H25" s="299"/>
      <c r="I25" s="1" t="s">
        <v>240</v>
      </c>
    </row>
    <row r="26" spans="1:14" ht="15" thickBot="1" x14ac:dyDescent="0.4">
      <c r="A26" s="300" t="s">
        <v>192</v>
      </c>
      <c r="C26" s="226"/>
      <c r="D26" s="226"/>
      <c r="E26" s="227" t="s">
        <v>10</v>
      </c>
      <c r="F26" s="228">
        <f>SUM(F22:F25)</f>
        <v>0</v>
      </c>
      <c r="G26" s="229"/>
      <c r="H26" s="205"/>
      <c r="I26" s="143" t="s">
        <v>243</v>
      </c>
      <c r="J26">
        <f>H26*15</f>
        <v>0</v>
      </c>
    </row>
    <row r="27" spans="1:14" ht="15.5" thickTop="1" thickBot="1" x14ac:dyDescent="0.4">
      <c r="A27" s="300"/>
      <c r="C27" s="220" t="s">
        <v>94</v>
      </c>
      <c r="D27" s="221" t="s">
        <v>368</v>
      </c>
      <c r="E27" s="222"/>
      <c r="F27" s="72">
        <f>IF(ISBLANK(E27),0,IF(D27='divs nats data base'!G$2,VLOOKUP(E27,standardsquads[#All],setup!C$9+1,FALSE),IF(D27='divs nats data base'!G$3,VLOOKUP(E27,assetsquads[#All],setup!C$9+1,FALSE),IF(D27='divs nats data base'!G$4,VLOOKUP(E27,feildgunsquads[#All],setup!C$9+1,FALSE),IF(D27='divs nats data base'!G$5,VLOOKUP(E27,built_SF[#All],setup!$C$9+1,FALSE),IF(D27='divs nats data base'!G$6,VLOOKUP(E27,built_SF[#All],setup!$C$9+1,FALSE),IF(D27='divs nats data base'!G$7,VLOOKUP(E27,built_SF[#All],setup!$C$9+1,FALSE))))))))</f>
        <v>0</v>
      </c>
      <c r="G27" s="105">
        <f ca="1">IF(D27='divs nats data base'!G$2,VLOOKUP(E27,standardsquads[#All],3,FALSE),IF(D27='divs nats data base'!G$3,VLOOKUP(E27,assetsquads[#All],3,FALSE),IF(D27='divs nats data base'!G$4,VLOOKUP(E27,feildgunsquads[#All],3,FALSE),IF(D27='divs nats data base'!G$5,VLOOKUP(E27,built_SF[#All],3,FALSE),IF(D27='divs nats data base'!G$6,VLOOKUP(E27,built_SF[#All],3,FALSE),IF(D27='divs nats data base'!G$7,VLOOKUP(E27,built_SF[#All],3,FALSE)))))))</f>
        <v>0</v>
      </c>
      <c r="H27" s="205"/>
      <c r="I27" s="8" t="s">
        <v>244</v>
      </c>
      <c r="J27">
        <f>H27*10</f>
        <v>0</v>
      </c>
    </row>
    <row r="28" spans="1:14" ht="15" thickBot="1" x14ac:dyDescent="0.4">
      <c r="A28" s="300"/>
      <c r="C28" s="76" t="s">
        <v>535</v>
      </c>
      <c r="D28" s="13" t="s">
        <v>535</v>
      </c>
      <c r="E28" s="69"/>
      <c r="F28" s="72">
        <f>IF(ISBLANK(E28),0,VLOOKUP(E28,upgrades[#All],setup!C$9+1,FALSE))</f>
        <v>0</v>
      </c>
      <c r="G28" s="105">
        <f ca="1">VLOOKUP(E28,upgrades[#All],2,FALSE)</f>
        <v>0</v>
      </c>
      <c r="H28" s="205"/>
      <c r="I28" s="14" t="s">
        <v>245</v>
      </c>
      <c r="J28">
        <f>H28*5</f>
        <v>0</v>
      </c>
      <c r="N28" t="s">
        <v>74</v>
      </c>
    </row>
    <row r="29" spans="1:14" ht="15" thickBot="1" x14ac:dyDescent="0.4">
      <c r="A29" s="301" t="s">
        <v>193</v>
      </c>
      <c r="C29" s="76" t="s">
        <v>49</v>
      </c>
      <c r="D29" s="204" t="s">
        <v>548</v>
      </c>
      <c r="E29" s="68"/>
      <c r="F29" s="72">
        <f>IF(ISBLANK(E29),0,IF(D29='divs nats data base'!I$3,VLOOKUP(E29,feildgunassets[#All],setup!C$9+1,FALSE),VLOOKUP(E29,assetteams[#All],setup!C$9+1,FALSE)))</f>
        <v>0</v>
      </c>
      <c r="G29" s="105">
        <f ca="1">IF(D29='divs nats data base'!I2,VLOOKUP(E29,assetteams[#All],3,FALSE),VLOOKUP(E29,feildgunassets[#All],3,FALSE))</f>
        <v>0</v>
      </c>
      <c r="H29" s="205"/>
      <c r="I29" s="8" t="s">
        <v>246</v>
      </c>
      <c r="J29">
        <f>H29*50</f>
        <v>0</v>
      </c>
    </row>
    <row r="30" spans="1:14" ht="15" customHeight="1" thickBot="1" x14ac:dyDescent="0.4">
      <c r="A30" s="301"/>
      <c r="C30" s="76" t="s">
        <v>50</v>
      </c>
      <c r="D30" s="13"/>
      <c r="E30" s="68"/>
      <c r="F30" s="72">
        <f>IF(ISBLANK(E30),0,VLOOKUP(E30,uncrewedvehicles[#All],setup!C$9+1,FALSE))</f>
        <v>0</v>
      </c>
      <c r="G30" s="105">
        <f ca="1">VLOOKUP(E30,uncrewedvehicles[],3,FALSE)</f>
        <v>0</v>
      </c>
    </row>
    <row r="31" spans="1:14" ht="15" customHeight="1" thickBot="1" x14ac:dyDescent="0.4">
      <c r="A31" s="301"/>
      <c r="C31" s="76"/>
      <c r="D31" s="76"/>
      <c r="E31" s="230" t="s">
        <v>10</v>
      </c>
      <c r="F31" s="231">
        <f>SUM(F27:F30)</f>
        <v>0</v>
      </c>
      <c r="G31" s="105"/>
      <c r="I31" t="s">
        <v>242</v>
      </c>
      <c r="J31">
        <f>SUM(J26:J29)</f>
        <v>0</v>
      </c>
    </row>
    <row r="32" spans="1:14" ht="15" customHeight="1" thickTop="1" thickBot="1" x14ac:dyDescent="0.4">
      <c r="A32" s="302" t="s">
        <v>194</v>
      </c>
      <c r="C32" s="223" t="s">
        <v>95</v>
      </c>
      <c r="D32" s="232" t="s">
        <v>368</v>
      </c>
      <c r="E32" s="233"/>
      <c r="F32" s="224">
        <f>IF(ISBLANK(E32),0,IF(D32='divs nats data base'!G$2,VLOOKUP(E32,standardsquads[#All],setup!C$9+1,FALSE),IF(D32='divs nats data base'!G$3,VLOOKUP(E32,assetsquads[#All],setup!C$9+1,FALSE),IF(D32='divs nats data base'!G$4,VLOOKUP(E32,feildgunsquads[#All],setup!C$9+1,FALSE),IF(D32='divs nats data base'!G$5,VLOOKUP(E32,built_SF[#All],setup!$C$9+1,FALSE),IF(D32='divs nats data base'!G$6,VLOOKUP(E32,built_SF[#All],setup!$C$9+1,FALSE),IF(D32='divs nats data base'!G$7,VLOOKUP(E32,built_SF[#All],setup!$C$9+1,FALSE))))))))</f>
        <v>0</v>
      </c>
      <c r="G32" s="225">
        <f ca="1">IF(D32='divs nats data base'!G$2,VLOOKUP(E32,standardsquads[#All],3,FALSE),IF(D32='divs nats data base'!G$3,VLOOKUP(E32,assetsquads[#All],3,FALSE),IF(D32='divs nats data base'!G$4,VLOOKUP(E32,feildgunsquads[#All],3,FALSE),IF(D32='divs nats data base'!G$5,VLOOKUP(E32,built_SF[#All],3,FALSE),IF(D32='divs nats data base'!G$6,VLOOKUP(E32,built_SF[#All],3,FALSE),IF(D32='divs nats data base'!G$7,VLOOKUP(E32,built_SF[#All],3,FALSE)))))))</f>
        <v>0</v>
      </c>
    </row>
    <row r="33" spans="1:10" ht="14.5" customHeight="1" thickBot="1" x14ac:dyDescent="0.4">
      <c r="A33" s="302"/>
      <c r="C33" s="76" t="s">
        <v>535</v>
      </c>
      <c r="D33" s="13"/>
      <c r="E33" s="69"/>
      <c r="F33" s="72">
        <f>IF(ISBLANK(E33),0,VLOOKUP(E33,upgrades[#All],setup!C$9+1,FALSE))</f>
        <v>0</v>
      </c>
      <c r="G33" s="105">
        <f ca="1">VLOOKUP(E33,upgrades[#All],2,FALSE)</f>
        <v>0</v>
      </c>
    </row>
    <row r="34" spans="1:10" ht="14.5" customHeight="1" thickBot="1" x14ac:dyDescent="0.4">
      <c r="A34" s="302"/>
      <c r="C34" s="76" t="s">
        <v>49</v>
      </c>
      <c r="D34" s="203" t="s">
        <v>504</v>
      </c>
      <c r="E34" s="68"/>
      <c r="F34" s="72">
        <f>IF(ISBLANK(E34),0,IF(D34='divs nats data base'!I$3,VLOOKUP(E34,feildgunassets[#All],setup!C$9+1,FALSE),VLOOKUP(E34,assetteams[#All],setup!C$9+1,FALSE)))</f>
        <v>0</v>
      </c>
      <c r="G34" s="105">
        <f ca="1">IF(D34='divs nats data base'!I2,VLOOKUP(E34,assetteams[#All],3,FALSE),VLOOKUP(E34,feildgunassets[#All],3,FALSE))</f>
        <v>0</v>
      </c>
    </row>
    <row r="35" spans="1:10" ht="15" customHeight="1" thickBot="1" x14ac:dyDescent="0.4">
      <c r="A35" s="303" t="s">
        <v>263</v>
      </c>
      <c r="C35" s="76" t="s">
        <v>50</v>
      </c>
      <c r="D35" s="13"/>
      <c r="E35" s="68"/>
      <c r="F35" s="72">
        <f>IF(ISBLANK(E35),0,VLOOKUP(E35,uncrewedvehicles[#All],setup!C$9+1,FALSE))</f>
        <v>0</v>
      </c>
      <c r="G35" s="105">
        <f ca="1">VLOOKUP(E35,uncrewedvehicles[],3,FALSE)</f>
        <v>0</v>
      </c>
    </row>
    <row r="36" spans="1:10" ht="15" customHeight="1" thickBot="1" x14ac:dyDescent="0.4">
      <c r="A36" s="303"/>
      <c r="C36" s="226"/>
      <c r="D36" s="226"/>
      <c r="E36" s="227" t="s">
        <v>10</v>
      </c>
      <c r="F36" s="228">
        <f>SUM(F32:F35)</f>
        <v>0</v>
      </c>
      <c r="G36" s="229"/>
    </row>
    <row r="37" spans="1:10" ht="15" customHeight="1" thickTop="1" thickBot="1" x14ac:dyDescent="0.4">
      <c r="A37" s="303"/>
      <c r="B37" s="64"/>
      <c r="C37" s="223" t="s">
        <v>96</v>
      </c>
      <c r="D37" s="232" t="s">
        <v>368</v>
      </c>
      <c r="E37" s="233"/>
      <c r="F37" s="224">
        <f>IF(ISBLANK(E37),0,IF(D37='divs nats data base'!G$2,VLOOKUP(E37,standardsquads[#All],setup!C$9+1,FALSE),IF(D37='divs nats data base'!G$3,VLOOKUP(E37,assetsquads[#All],setup!C$9+1,FALSE),IF(D37='divs nats data base'!G$4,VLOOKUP(E37,feildgunsquads[#All],setup!C$9+1,FALSE),IF(D37='divs nats data base'!G$5,VLOOKUP(E37,built_SF[#All],setup!$C$9+1,FALSE),IF(D37='divs nats data base'!G$6,VLOOKUP(E37,built_SF[#All],setup!$C$9+1,FALSE),IF(D37='divs nats data base'!G$7,VLOOKUP(E37,built_SF[#All],setup!$C$9+1,FALSE))))))))</f>
        <v>0</v>
      </c>
      <c r="G37" s="225">
        <f ca="1">IF(D37='divs nats data base'!G$2,VLOOKUP(E37,standardsquads[#All],3,FALSE),IF(D37='divs nats data base'!G$3,VLOOKUP(E37,assetsquads[#All],3,FALSE),IF(D37='divs nats data base'!G$4,VLOOKUP(E37,feildgunsquads[#All],3,FALSE),IF(D37='divs nats data base'!G$5,VLOOKUP(E37,built_SF[#All],3,FALSE),IF(D37='divs nats data base'!G$6,VLOOKUP(E37,built_SF[#All],3,FALSE),IF(D37='divs nats data base'!G$7,VLOOKUP(E37,built_SF[#All],3,FALSE)))))))</f>
        <v>0</v>
      </c>
    </row>
    <row r="38" spans="1:10" ht="14.5" customHeight="1" thickBot="1" x14ac:dyDescent="0.4">
      <c r="B38" s="67"/>
      <c r="C38" s="76" t="s">
        <v>535</v>
      </c>
      <c r="D38" s="13"/>
      <c r="E38" s="69"/>
      <c r="F38" s="72">
        <f>IF(ISBLANK(E38),0,VLOOKUP(E38,upgrades[#All],setup!C$9+1,FALSE))</f>
        <v>0</v>
      </c>
      <c r="G38" s="105">
        <f ca="1">VLOOKUP(E38,upgrades[#All],2,FALSE)</f>
        <v>0</v>
      </c>
    </row>
    <row r="39" spans="1:10" ht="17" customHeight="1" thickBot="1" x14ac:dyDescent="0.4">
      <c r="B39" s="59"/>
      <c r="C39" s="76" t="s">
        <v>49</v>
      </c>
      <c r="D39" s="203" t="s">
        <v>504</v>
      </c>
      <c r="E39" s="68"/>
      <c r="F39" s="72">
        <f>IF(ISBLANK(E39),0,IF(D39='divs nats data base'!I$3,VLOOKUP(E39,feildgunassets[#All],setup!C$9+1,FALSE),VLOOKUP(E39,assetteams[#All],setup!C$9+1,FALSE)))</f>
        <v>0</v>
      </c>
      <c r="G39" s="105">
        <f ca="1">IF(D39='divs nats data base'!I2,VLOOKUP(E39,assetteams[#All],3,FALSE),VLOOKUP(E39,feildgunassets[#All],3,FALSE))</f>
        <v>0</v>
      </c>
    </row>
    <row r="40" spans="1:10" ht="15" customHeight="1" thickBot="1" x14ac:dyDescent="0.4">
      <c r="B40" s="59"/>
      <c r="C40" s="76" t="s">
        <v>50</v>
      </c>
      <c r="D40" s="13"/>
      <c r="E40" s="68"/>
      <c r="F40" s="72">
        <f>IF(ISBLANK(E40),0,VLOOKUP(E40,uncrewedvehicles[#All],setup!C$9+1,FALSE))</f>
        <v>0</v>
      </c>
      <c r="G40" s="105">
        <f ca="1">VLOOKUP(E40,uncrewedvehicles[],3,FALSE)</f>
        <v>0</v>
      </c>
      <c r="I40" s="13" t="s">
        <v>10</v>
      </c>
      <c r="J40" s="71">
        <f>SUM(F6+F11+F16+F21+F26+F31+F36+F41+F44+J18+J31)</f>
        <v>0</v>
      </c>
    </row>
    <row r="41" spans="1:10" ht="15" customHeight="1" thickBot="1" x14ac:dyDescent="0.4">
      <c r="A41" s="67"/>
      <c r="B41" s="59"/>
      <c r="C41" s="226"/>
      <c r="D41" s="226"/>
      <c r="E41" s="227" t="s">
        <v>10</v>
      </c>
      <c r="F41" s="228">
        <f>SUM(F37:F40)</f>
        <v>0</v>
      </c>
      <c r="G41" s="229"/>
      <c r="I41" t="s">
        <v>29</v>
      </c>
      <c r="J41" s="71">
        <f>(A16-J40)</f>
        <v>10000</v>
      </c>
    </row>
    <row r="42" spans="1:10" ht="15.5" customHeight="1" thickTop="1" x14ac:dyDescent="0.35">
      <c r="A42" s="67"/>
      <c r="C42" s="59" t="str">
        <f>A19</f>
        <v>0.0.USA.infantry.trained..10000.neutral.7.1.0</v>
      </c>
      <c r="D42" s="59"/>
      <c r="E42" s="64"/>
      <c r="F42" s="206"/>
      <c r="G42" s="59"/>
    </row>
    <row r="43" spans="1:10" x14ac:dyDescent="0.35">
      <c r="A43" s="59"/>
      <c r="C43" s="59"/>
      <c r="D43" s="59"/>
      <c r="E43" s="64"/>
      <c r="F43" s="206"/>
      <c r="G43" s="59"/>
    </row>
    <row r="44" spans="1:10" x14ac:dyDescent="0.35">
      <c r="A44" s="67"/>
      <c r="C44" s="59"/>
      <c r="D44" s="59"/>
      <c r="E44" s="59"/>
      <c r="F44" s="206"/>
      <c r="G44" s="59"/>
    </row>
    <row r="45" spans="1:10" x14ac:dyDescent="0.35">
      <c r="A45" s="67"/>
    </row>
    <row r="46" spans="1:10" x14ac:dyDescent="0.35">
      <c r="A46" s="59"/>
      <c r="E46" s="13"/>
    </row>
    <row r="47" spans="1:10" x14ac:dyDescent="0.35">
      <c r="A47" s="67"/>
      <c r="C47" s="13"/>
      <c r="D47" s="13"/>
    </row>
    <row r="48" spans="1:10" x14ac:dyDescent="0.35">
      <c r="A48" s="67"/>
      <c r="C48" s="60"/>
      <c r="D48" s="60"/>
    </row>
    <row r="49" spans="3:4" x14ac:dyDescent="0.35">
      <c r="C49" s="2"/>
      <c r="D49" s="62"/>
    </row>
    <row r="50" spans="3:4" x14ac:dyDescent="0.35">
      <c r="C50" s="2"/>
      <c r="D50" s="56"/>
    </row>
    <row r="51" spans="3:4" x14ac:dyDescent="0.35">
      <c r="C51" s="63"/>
      <c r="D51" s="56"/>
    </row>
    <row r="52" spans="3:4" x14ac:dyDescent="0.35">
      <c r="C52" s="2"/>
      <c r="D52" s="56"/>
    </row>
    <row r="53" spans="3:4" x14ac:dyDescent="0.35">
      <c r="C53" s="63"/>
      <c r="D53" s="56"/>
    </row>
    <row r="54" spans="3:4" x14ac:dyDescent="0.35">
      <c r="C54" s="64"/>
      <c r="D54" s="64"/>
    </row>
    <row r="55" spans="3:4" x14ac:dyDescent="0.35">
      <c r="C55" s="64"/>
      <c r="D55" s="64"/>
    </row>
    <row r="56" spans="3:4" x14ac:dyDescent="0.35">
      <c r="C56" s="64"/>
      <c r="D56" s="64"/>
    </row>
    <row r="57" spans="3:4" x14ac:dyDescent="0.35">
      <c r="C57" s="64"/>
      <c r="D57" s="64"/>
    </row>
    <row r="58" spans="3:4" x14ac:dyDescent="0.35">
      <c r="C58" s="64"/>
      <c r="D58" s="64"/>
    </row>
    <row r="59" spans="3:4" x14ac:dyDescent="0.35">
      <c r="C59" s="64"/>
      <c r="D59" s="64"/>
    </row>
    <row r="60" spans="3:4" x14ac:dyDescent="0.35">
      <c r="C60" s="59"/>
      <c r="D60" s="59"/>
    </row>
    <row r="61" spans="3:4" x14ac:dyDescent="0.35">
      <c r="C61" s="59"/>
      <c r="D61" s="59"/>
    </row>
    <row r="62" spans="3:4" x14ac:dyDescent="0.35">
      <c r="C62" s="59"/>
      <c r="D62" s="59"/>
    </row>
    <row r="63" spans="3:4" x14ac:dyDescent="0.35">
      <c r="C63" s="59"/>
      <c r="D63" s="59"/>
    </row>
    <row r="64" spans="3:4" x14ac:dyDescent="0.35">
      <c r="C64" s="59"/>
      <c r="D64" s="59"/>
    </row>
    <row r="65" spans="1:4" x14ac:dyDescent="0.35">
      <c r="C65" s="59"/>
      <c r="D65" s="59"/>
    </row>
    <row r="66" spans="1:4" x14ac:dyDescent="0.35">
      <c r="C66" s="59"/>
      <c r="D66" s="59"/>
    </row>
    <row r="67" spans="1:4" x14ac:dyDescent="0.35">
      <c r="C67" s="59"/>
      <c r="D67" s="59"/>
    </row>
    <row r="68" spans="1:4" x14ac:dyDescent="0.35">
      <c r="C68" s="2"/>
      <c r="D68" s="59"/>
    </row>
    <row r="69" spans="1:4" x14ac:dyDescent="0.35">
      <c r="C69" s="2"/>
      <c r="D69" s="59"/>
    </row>
    <row r="70" spans="1:4" x14ac:dyDescent="0.35">
      <c r="C70" s="59"/>
      <c r="D70" s="59"/>
    </row>
    <row r="71" spans="1:4" x14ac:dyDescent="0.35">
      <c r="C71" s="59"/>
      <c r="D71" s="59"/>
    </row>
    <row r="72" spans="1:4" x14ac:dyDescent="0.35">
      <c r="B72" s="13"/>
      <c r="C72" s="13"/>
      <c r="D72" s="13"/>
    </row>
    <row r="73" spans="1:4" x14ac:dyDescent="0.35">
      <c r="B73" s="59"/>
    </row>
    <row r="74" spans="1:4" x14ac:dyDescent="0.35">
      <c r="B74" s="59"/>
    </row>
    <row r="75" spans="1:4" x14ac:dyDescent="0.35">
      <c r="B75" s="60"/>
    </row>
    <row r="76" spans="1:4" x14ac:dyDescent="0.35">
      <c r="A76" s="59"/>
      <c r="B76" s="61"/>
    </row>
    <row r="77" spans="1:4" x14ac:dyDescent="0.35">
      <c r="A77" s="59"/>
      <c r="B77" s="63"/>
    </row>
    <row r="78" spans="1:4" x14ac:dyDescent="0.35">
      <c r="A78" s="60"/>
      <c r="B78" s="63"/>
    </row>
    <row r="79" spans="1:4" x14ac:dyDescent="0.35">
      <c r="A79" s="63"/>
      <c r="B79" s="61"/>
    </row>
    <row r="80" spans="1:4" x14ac:dyDescent="0.35">
      <c r="A80" s="63"/>
      <c r="B80" s="63"/>
    </row>
    <row r="81" spans="1:2" x14ac:dyDescent="0.35">
      <c r="A81" s="63"/>
      <c r="B81" s="2"/>
    </row>
    <row r="82" spans="1:2" x14ac:dyDescent="0.35">
      <c r="A82" s="63"/>
      <c r="B82" s="64"/>
    </row>
    <row r="83" spans="1:2" x14ac:dyDescent="0.35">
      <c r="A83" s="2" t="str">
        <f t="array" ref="A83">IFERROR(INDEX(tblunits[unitname],SMALL(IF((tblunits[nation]=$B$23)*(tblunits[division]=#REF!)*(tblunits[squadtype]=$D$7),ROW(tblunits[unitname])-MIN(ROW(tblunits[unitname]))+1),ROWS($A$83:A83))),"")</f>
        <v/>
      </c>
      <c r="B83" s="64"/>
    </row>
    <row r="84" spans="1:2" x14ac:dyDescent="0.35">
      <c r="A84" s="2" t="str">
        <f t="array" ref="A84">IFERROR(INDEX(tblunits[unitname],SMALL(IF((tblunits[nation]=$B$23)*(tblunits[division]=#REF!)*(tblunits[squadtype]=$D$7),ROW(tblunits[unitname])-MIN(ROW(tblunits[unitname]))+1),ROWS($A$83:A84))),"")</f>
        <v/>
      </c>
      <c r="B84" s="64"/>
    </row>
    <row r="85" spans="1:2" x14ac:dyDescent="0.35">
      <c r="A85" s="2" t="str">
        <f t="array" ref="A85">IFERROR(INDEX(tblunits[unitname],SMALL(IF((tblunits[nation]=$B$23)*(tblunits[division]=#REF!)*(tblunits[squadtype]=$D$7),ROW(tblunits[unitname])-MIN(ROW(tblunits[unitname]))+1),ROWS($A$83:A85))),"")</f>
        <v/>
      </c>
      <c r="B85" s="64"/>
    </row>
    <row r="86" spans="1:2" x14ac:dyDescent="0.35">
      <c r="A86" s="2" t="str">
        <f t="array" ref="A86">IFERROR(INDEX(tblunits[unitname],SMALL(IF((tblunits[nation]=$B$23)*(tblunits[division]=#REF!)*(tblunits[squadtype]=$D$7),ROW(tblunits[unitname])-MIN(ROW(tblunits[unitname]))+1),ROWS($A$83:A86))),"")</f>
        <v/>
      </c>
      <c r="B86" s="56"/>
    </row>
    <row r="87" spans="1:2" x14ac:dyDescent="0.35">
      <c r="A87" s="2" t="str">
        <f t="array" ref="A87">IFERROR(INDEX(tblunits[unitname],SMALL(IF((tblunits[nation]=$B$23)*(tblunits[division]=#REF!)*(tblunits[squadtype]=$D$7),ROW(tblunits[unitname])-MIN(ROW(tblunits[unitname]))+1),ROWS($A$83:A87))),"")</f>
        <v/>
      </c>
      <c r="B87" s="59"/>
    </row>
    <row r="88" spans="1:2" x14ac:dyDescent="0.35">
      <c r="A88" s="2" t="str">
        <f t="array" ref="A88">IFERROR(INDEX(tblunits[unitname],SMALL(IF((tblunits[nation]=$B$23)*(tblunits[division]=#REF!)*(tblunits[squadtype]=$D$7),ROW(tblunits[unitname])-MIN(ROW(tblunits[unitname]))+1),ROWS($A$83:A88))),"")</f>
        <v/>
      </c>
      <c r="B88" s="59"/>
    </row>
    <row r="89" spans="1:2" x14ac:dyDescent="0.35">
      <c r="A89" s="2" t="str">
        <f t="array" ref="A89">IFERROR(INDEX(tblunits[unitname],SMALL(IF((tblunits[nation]=$B$23)*(tblunits[division]=#REF!)*(tblunits[squadtype]=$D$7),ROW(tblunits[unitname])-MIN(ROW(tblunits[unitname]))+1),ROWS($A$83:A89))),"")</f>
        <v/>
      </c>
      <c r="B89" s="59"/>
    </row>
    <row r="90" spans="1:2" x14ac:dyDescent="0.35">
      <c r="A90" s="2" t="str">
        <f t="array" ref="A90">IFERROR(INDEX(tblunits[unitname],SMALL(IF((tblunits[nation]=$B$23)*(tblunits[division]=#REF!)*(tblunits[squadtype]=$D$7),ROW(tblunits[unitname])-MIN(ROW(tblunits[unitname]))+1),ROWS($A$83:A90))),"")</f>
        <v/>
      </c>
      <c r="B90" s="59"/>
    </row>
    <row r="91" spans="1:2" x14ac:dyDescent="0.35">
      <c r="A91" s="2" t="str">
        <f t="array" ref="A91">IFERROR(INDEX(tblunits[unitname],SMALL(IF((tblunits[nation]=$B$23)*(tblunits[division]=#REF!)*(tblunits[squadtype]=$D$7),ROW(tblunits[unitname])-MIN(ROW(tblunits[unitname]))+1),ROWS($A$83:A91))),"")</f>
        <v/>
      </c>
      <c r="B91" s="59"/>
    </row>
    <row r="92" spans="1:2" x14ac:dyDescent="0.35">
      <c r="A92" s="2" t="str">
        <f t="array" ref="A92">IFERROR(INDEX(tblunits[unitname],SMALL(IF((tblunits[nation]=$B$23)*(tblunits[division]=#REF!)*(tblunits[squadtype]=$D$7),ROW(tblunits[unitname])-MIN(ROW(tblunits[unitname]))+1),ROWS($A$83:A92))),"")</f>
        <v/>
      </c>
      <c r="B92" s="59"/>
    </row>
    <row r="93" spans="1:2" x14ac:dyDescent="0.35">
      <c r="A93" s="2" t="str">
        <f t="array" ref="A93">IFERROR(INDEX(tblunits[unitname],SMALL(IF((tblunits[nation]=$B$23)*(tblunits[division]=#REF!)*(tblunits[squadtype]=$D$7),ROW(tblunits[unitname])-MIN(ROW(tblunits[unitname]))+1),ROWS($A$83:A93))),"")</f>
        <v/>
      </c>
      <c r="B93" s="59"/>
    </row>
    <row r="94" spans="1:2" x14ac:dyDescent="0.35">
      <c r="A94" s="2" t="str">
        <f t="array" ref="A94">IFERROR(INDEX(tblunits[unitname],SMALL(IF((tblunits[nation]=$B$23)*(tblunits[division]=#REF!)*(tblunits[squadtype]=$D$7),ROW(tblunits[unitname])-MIN(ROW(tblunits[unitname]))+1),ROWS($A$83:A94))),"")</f>
        <v/>
      </c>
      <c r="B94" s="59"/>
    </row>
    <row r="95" spans="1:2" x14ac:dyDescent="0.35">
      <c r="A95" s="2" t="str">
        <f t="array" ref="A95">IFERROR(INDEX(tblunits[unitname],SMALL(IF((tblunits[nation]=$B$23)*(tblunits[division]=#REF!)*(tblunits[squadtype]=$D$7),ROW(tblunits[unitname])-MIN(ROW(tblunits[unitname]))+1),ROWS($A$83:A95))),"")</f>
        <v/>
      </c>
      <c r="B95" s="59"/>
    </row>
    <row r="96" spans="1:2" x14ac:dyDescent="0.35">
      <c r="A96" s="2" t="str">
        <f t="array" ref="A96">IFERROR(INDEX(tblunits[unitname],SMALL(IF((tblunits[nation]=$B$23)*(tblunits[division]=#REF!)*(tblunits[squadtype]=$D$7),ROW(tblunits[unitname])-MIN(ROW(tblunits[unitname]))+1),ROWS($A$83:A96))),"")</f>
        <v/>
      </c>
      <c r="B96" s="59"/>
    </row>
    <row r="97" spans="1:2" x14ac:dyDescent="0.35">
      <c r="A97" s="2" t="str">
        <f t="array" ref="A97">IFERROR(INDEX(tblunits[unitname],SMALL(IF((tblunits[nation]=$B$23)*(tblunits[division]=#REF!)*(tblunits[squadtype]=$D$7),ROW(tblunits[unitname])-MIN(ROW(tblunits[unitname]))+1),ROWS($A$83:A97))),"")</f>
        <v/>
      </c>
      <c r="B97" s="13"/>
    </row>
    <row r="98" spans="1:2" x14ac:dyDescent="0.35">
      <c r="A98" s="2" t="str">
        <f t="array" ref="A98">IFERROR(INDEX(tblunits[unitname],SMALL(IF((tblunits[nation]=$B$23)*(tblunits[division]=#REF!)*(tblunits[squadtype]=$D$7),ROW(tblunits[unitname])-MIN(ROW(tblunits[unitname]))+1),ROWS($A$83:A98))),"")</f>
        <v/>
      </c>
    </row>
    <row r="99" spans="1:2" x14ac:dyDescent="0.35">
      <c r="A99" s="2" t="str">
        <f t="array" ref="A99">IFERROR(INDEX(tblunits[unitname],SMALL(IF((tblunits[nation]=$B$23)*(tblunits[division]=#REF!)*(tblunits[squadtype]=$D$7),ROW(tblunits[unitname])-MIN(ROW(tblunits[unitname]))+1),ROWS($A$83:A99))),"")</f>
        <v/>
      </c>
    </row>
    <row r="100" spans="1:2" x14ac:dyDescent="0.35">
      <c r="A100" s="2" t="str">
        <f t="array" ref="A100">IFERROR(INDEX(tblunits[unitname],SMALL(IF((tblunits[nation]=$B$23)*(tblunits[division]=#REF!)*(tblunits[squadtype]=$D$7),ROW(tblunits[unitname])-MIN(ROW(tblunits[unitname]))+1),ROWS($A$83:A100))),"")</f>
        <v/>
      </c>
    </row>
    <row r="101" spans="1:2" x14ac:dyDescent="0.35">
      <c r="A101" s="2" t="str">
        <f t="array" ref="A101">IFERROR(INDEX(tblunits[unitname],SMALL(IF((tblunits[nation]=$B$23)*(tblunits[division]=#REF!)*(tblunits[squadtype]=$D$7),ROW(tblunits[unitname])-MIN(ROW(tblunits[unitname]))+1),ROWS($A$83:A101))),"")</f>
        <v/>
      </c>
    </row>
    <row r="102" spans="1:2" x14ac:dyDescent="0.35">
      <c r="A102" s="2" t="str">
        <f t="array" ref="A102">IFERROR(INDEX(tblunits[unitname],SMALL(IF((tblunits[nation]=$B$23)*(tblunits[division]=#REF!)*(tblunits[squadtype]=$D$7),ROW(tblunits[unitname])-MIN(ROW(tblunits[unitname]))+1),ROWS($A$83:A102))),"")</f>
        <v/>
      </c>
    </row>
    <row r="103" spans="1:2" x14ac:dyDescent="0.35">
      <c r="A103" s="2" t="str">
        <f t="array" ref="A103">IFERROR(INDEX(tblunits[unitname],SMALL(IF((tblunits[nation]=$B$23)*(tblunits[division]=#REF!)*(tblunits[squadtype]=$D$7),ROW(tblunits[unitname])-MIN(ROW(tblunits[unitname]))+1),ROWS($A$83:A103))),"")</f>
        <v/>
      </c>
    </row>
    <row r="104" spans="1:2" x14ac:dyDescent="0.35">
      <c r="A104" s="2" t="str">
        <f t="array" ref="A104">IFERROR(INDEX(tblunits[unitname],SMALL(IF((tblunits[nation]=$B$23)*(tblunits[division]=#REF!)*(tblunits[squadtype]=$D$7),ROW(tblunits[unitname])-MIN(ROW(tblunits[unitname]))+1),ROWS($A$83:A104))),"")</f>
        <v/>
      </c>
    </row>
    <row r="105" spans="1:2" x14ac:dyDescent="0.35">
      <c r="A105" s="2" t="str">
        <f t="array" ref="A105">IFERROR(INDEX(tblunits[unitname],SMALL(IF((tblunits[nation]=$B$23)*(tblunits[division]=#REF!)*(tblunits[squadtype]=$D$7),ROW(tblunits[unitname])-MIN(ROW(tblunits[unitname]))+1),ROWS($A$83:A105))),"")</f>
        <v/>
      </c>
    </row>
    <row r="106" spans="1:2" x14ac:dyDescent="0.35">
      <c r="A106" s="2" t="str">
        <f t="array" ref="A106">IFERROR(INDEX(tblunits[unitname],SMALL(IF((tblunits[nation]=$B$23)*(tblunits[division]=#REF!)*(tblunits[squadtype]=$D$7),ROW(tblunits[unitname])-MIN(ROW(tblunits[unitname]))+1),ROWS($A$83:A106))),"")</f>
        <v/>
      </c>
    </row>
    <row r="107" spans="1:2" x14ac:dyDescent="0.35">
      <c r="A107" s="2" t="str">
        <f t="array" ref="A107">IFERROR(INDEX(tblunits[unitname],SMALL(IF((tblunits[nation]=$B$23)*(tblunits[division]=#REF!)*(tblunits[squadtype]=$D$7),ROW(tblunits[unitname])-MIN(ROW(tblunits[unitname]))+1),ROWS($A$83:A107))),"")</f>
        <v/>
      </c>
    </row>
    <row r="108" spans="1:2" x14ac:dyDescent="0.35">
      <c r="A108" s="2" t="str">
        <f t="array" ref="A108">IFERROR(INDEX(tblunits[unitname],SMALL(IF((tblunits[nation]=$B$23)*(tblunits[division]=#REF!)*(tblunits[squadtype]=$D$7),ROW(tblunits[unitname])-MIN(ROW(tblunits[unitname]))+1),ROWS($A$83:A108))),"")</f>
        <v/>
      </c>
    </row>
    <row r="109" spans="1:2" x14ac:dyDescent="0.35">
      <c r="A109" s="2" t="str">
        <f t="array" ref="A109">IFERROR(INDEX(tblunits[unitname],SMALL(IF((tblunits[nation]=$B$23)*(tblunits[division]=#REF!)*(tblunits[squadtype]=$D$7),ROW(tblunits[unitname])-MIN(ROW(tblunits[unitname]))+1),ROWS($A$83:A109))),"")</f>
        <v/>
      </c>
    </row>
    <row r="110" spans="1:2" x14ac:dyDescent="0.35">
      <c r="A110" s="2" t="str">
        <f t="array" ref="A110">IFERROR(INDEX(tblunits[unitname],SMALL(IF((tblunits[nation]=$B$23)*(tblunits[division]=#REF!)*(tblunits[squadtype]=$D$7),ROW(tblunits[unitname])-MIN(ROW(tblunits[unitname]))+1),ROWS($A$83:A110))),"")</f>
        <v/>
      </c>
    </row>
    <row r="111" spans="1:2" x14ac:dyDescent="0.35">
      <c r="A111" s="2" t="str">
        <f t="array" ref="A111">IFERROR(INDEX(tblunits[unitname],SMALL(IF((tblunits[nation]=$B$23)*(tblunits[division]=#REF!)*(tblunits[squadtype]=$D$7),ROW(tblunits[unitname])-MIN(ROW(tblunits[unitname]))+1),ROWS($A$83:A111))),"")</f>
        <v/>
      </c>
    </row>
    <row r="112" spans="1:2" x14ac:dyDescent="0.35">
      <c r="A112" s="2" t="str">
        <f t="array" ref="A112">IFERROR(INDEX(tblunits[unitname],SMALL(IF((tblunits[nation]=$B$23)*(tblunits[division]=#REF!)*(tblunits[squadtype]=$D$7),ROW(tblunits[unitname])-MIN(ROW(tblunits[unitname]))+1),ROWS($A$83:A112))),"")</f>
        <v/>
      </c>
    </row>
    <row r="113" spans="1:1" x14ac:dyDescent="0.35">
      <c r="A113" s="2" t="str">
        <f t="array" ref="A113">IFERROR(INDEX(tblunits[unitname],SMALL(IF((tblunits[nation]=$B$23)*(tblunits[division]=#REF!)*(tblunits[squadtype]=$D$7),ROW(tblunits[unitname])-MIN(ROW(tblunits[unitname]))+1),ROWS($A$83:A113))),"")</f>
        <v/>
      </c>
    </row>
    <row r="114" spans="1:1" x14ac:dyDescent="0.35">
      <c r="A114" s="2" t="str">
        <f t="array" ref="A114">IFERROR(INDEX(tblunits[unitname],SMALL(IF((tblunits[nation]=$B$23)*(tblunits[division]=#REF!)*(tblunits[squadtype]=$D$7),ROW(tblunits[unitname])-MIN(ROW(tblunits[unitname]))+1),ROWS($A$83:A114))),"")</f>
        <v/>
      </c>
    </row>
    <row r="115" spans="1:1" x14ac:dyDescent="0.35">
      <c r="A115" s="2" t="str">
        <f t="array" ref="A115">IFERROR(INDEX(tblunits[unitname],SMALL(IF((tblunits[nation]=$B$23)*(tblunits[division]=#REF!)*(tblunits[squadtype]=$D$7),ROW(tblunits[unitname])-MIN(ROW(tblunits[unitname]))+1),ROWS($A$83:A115))),"")</f>
        <v/>
      </c>
    </row>
    <row r="116" spans="1:1" x14ac:dyDescent="0.35">
      <c r="A116" s="2" t="str">
        <f t="array" ref="A116">IFERROR(INDEX(tblunits[unitname],SMALL(IF((tblunits[nation]=$B$23)*(tblunits[division]=#REF!)*(tblunits[squadtype]=$D$7),ROW(tblunits[unitname])-MIN(ROW(tblunits[unitname]))+1),ROWS($A$83:A116))),"")</f>
        <v/>
      </c>
    </row>
    <row r="117" spans="1:1" x14ac:dyDescent="0.35">
      <c r="A117" s="2" t="str">
        <f t="array" ref="A117">IFERROR(INDEX(tblunits[unitname],SMALL(IF((tblunits[nation]=$B$23)*(tblunits[division]=#REF!)*(tblunits[squadtype]=$D$7),ROW(tblunits[unitname])-MIN(ROW(tblunits[unitname]))+1),ROWS($A$83:A117))),"")</f>
        <v/>
      </c>
    </row>
    <row r="118" spans="1:1" x14ac:dyDescent="0.35">
      <c r="A118" s="2" t="str">
        <f t="array" ref="A118">IFERROR(INDEX(tblunits[unitname],SMALL(IF((tblunits[nation]=$B$23)*(tblunits[division]=#REF!)*(tblunits[squadtype]=$D$7),ROW(tblunits[unitname])-MIN(ROW(tblunits[unitname]))+1),ROWS($A$83:A118))),"")</f>
        <v/>
      </c>
    </row>
    <row r="119" spans="1:1" x14ac:dyDescent="0.35">
      <c r="A119" s="2" t="str">
        <f t="array" ref="A119">IFERROR(INDEX(tblunits[unitname],SMALL(IF((tblunits[nation]=$B$23)*(tblunits[division]=#REF!)*(tblunits[squadtype]=$D$7),ROW(tblunits[unitname])-MIN(ROW(tblunits[unitname]))+1),ROWS($A$83:A119))),"")</f>
        <v/>
      </c>
    </row>
    <row r="120" spans="1:1" x14ac:dyDescent="0.35">
      <c r="A120" s="2" t="str">
        <f t="array" ref="A120">IFERROR(INDEX(tblunits[unitname],SMALL(IF((tblunits[nation]=$B$23)*(tblunits[division]=#REF!)*(tblunits[squadtype]=$D$7),ROW(tblunits[unitname])-MIN(ROW(tblunits[unitname]))+1),ROWS($A$83:A120))),"")</f>
        <v/>
      </c>
    </row>
    <row r="121" spans="1:1" x14ac:dyDescent="0.35">
      <c r="A121" s="2" t="str">
        <f t="array" ref="A121">IFERROR(INDEX(tblunits[unitname],SMALL(IF((tblunits[nation]=$B$23)*(tblunits[division]=#REF!)*(tblunits[squadtype]=$D$7),ROW(tblunits[unitname])-MIN(ROW(tblunits[unitname]))+1),ROWS($A$83:A121))),"")</f>
        <v/>
      </c>
    </row>
    <row r="122" spans="1:1" x14ac:dyDescent="0.35">
      <c r="A122" s="2" t="str">
        <f t="array" ref="A122">IFERROR(INDEX(tblunits[unitname],SMALL(IF((tblunits[nation]=$B$23)*(tblunits[division]=#REF!)*(tblunits[squadtype]=$D$7),ROW(tblunits[unitname])-MIN(ROW(tblunits[unitname]))+1),ROWS($A$83:A122))),"")</f>
        <v/>
      </c>
    </row>
    <row r="123" spans="1:1" x14ac:dyDescent="0.35">
      <c r="A123" s="2" t="str">
        <f t="array" ref="A123">IFERROR(INDEX(tblunits[unitname],SMALL(IF((tblunits[nation]=$B$23)*(tblunits[division]=#REF!)*(tblunits[squadtype]=$D$7),ROW(tblunits[unitname])-MIN(ROW(tblunits[unitname]))+1),ROWS($A$83:A123))),"")</f>
        <v/>
      </c>
    </row>
    <row r="124" spans="1:1" x14ac:dyDescent="0.35">
      <c r="A124" s="2" t="str">
        <f t="array" ref="A124">IFERROR(INDEX(tblunits[unitname],SMALL(IF((tblunits[nation]=$B$23)*(tblunits[division]=#REF!)*(tblunits[squadtype]=$D$7),ROW(tblunits[unitname])-MIN(ROW(tblunits[unitname]))+1),ROWS($A$83:A124))),"")</f>
        <v/>
      </c>
    </row>
    <row r="125" spans="1:1" x14ac:dyDescent="0.35">
      <c r="A125" s="2" t="str">
        <f t="array" ref="A125">IFERROR(INDEX(tblunits[unitname],SMALL(IF((tblunits[nation]=$B$23)*(tblunits[division]=#REF!)*(tblunits[squadtype]=$D$7),ROW(tblunits[unitname])-MIN(ROW(tblunits[unitname]))+1),ROWS($A$83:A125))),"")</f>
        <v/>
      </c>
    </row>
    <row r="126" spans="1:1" x14ac:dyDescent="0.35">
      <c r="A126" s="2" t="str">
        <f t="array" ref="A126">IFERROR(INDEX(tblunits[unitname],SMALL(IF((tblunits[nation]=$B$23)*(tblunits[division]=#REF!)*(tblunits[squadtype]=$D$7),ROW(tblunits[unitname])-MIN(ROW(tblunits[unitname]))+1),ROWS($A$83:A126))),"")</f>
        <v/>
      </c>
    </row>
    <row r="127" spans="1:1" x14ac:dyDescent="0.35">
      <c r="A127" s="2" t="str">
        <f t="array" ref="A127">IFERROR(INDEX(tblunits[unitname],SMALL(IF((tblunits[nation]=$B$23)*(tblunits[division]=#REF!)*(tblunits[squadtype]=$D$7),ROW(tblunits[unitname])-MIN(ROW(tblunits[unitname]))+1),ROWS($A$83:A127))),"")</f>
        <v/>
      </c>
    </row>
    <row r="128" spans="1:1" x14ac:dyDescent="0.35">
      <c r="A128" s="2" t="str">
        <f t="array" ref="A128">IFERROR(INDEX(tblunits[unitname],SMALL(IF((tblunits[nation]=$B$23)*(tblunits[division]=#REF!)*(tblunits[squadtype]=$D$7),ROW(tblunits[unitname])-MIN(ROW(tblunits[unitname]))+1),ROWS($A$83:A128))),"")</f>
        <v/>
      </c>
    </row>
    <row r="129" spans="1:1" x14ac:dyDescent="0.35">
      <c r="A129" s="2" t="str">
        <f t="array" ref="A129">IFERROR(INDEX(tblunits[unitname],SMALL(IF((tblunits[nation]=$B$23)*(tblunits[division]=#REF!)*(tblunits[squadtype]=$D$7),ROW(tblunits[unitname])-MIN(ROW(tblunits[unitname]))+1),ROWS($A$83:A129))),"")</f>
        <v/>
      </c>
    </row>
    <row r="130" spans="1:1" x14ac:dyDescent="0.35">
      <c r="A130" s="2" t="str">
        <f t="array" ref="A130">IFERROR(INDEX(tblunits[unitname],SMALL(IF((tblunits[nation]=$B$23)*(tblunits[division]=#REF!)*(tblunits[squadtype]=$D$7),ROW(tblunits[unitname])-MIN(ROW(tblunits[unitname]))+1),ROWS($A$83:A130))),"")</f>
        <v/>
      </c>
    </row>
    <row r="131" spans="1:1" x14ac:dyDescent="0.35">
      <c r="A131" s="2" t="str">
        <f t="array" ref="A131">IFERROR(INDEX(tblunits[unitname],SMALL(IF((tblunits[nation]=$B$23)*(tblunits[division]=#REF!)*(tblunits[squadtype]=$D$7),ROW(tblunits[unitname])-MIN(ROW(tblunits[unitname]))+1),ROWS($A$83:A131))),"")</f>
        <v/>
      </c>
    </row>
    <row r="132" spans="1:1" x14ac:dyDescent="0.35">
      <c r="A132" s="2" t="str">
        <f t="array" ref="A132">IFERROR(INDEX(tblunits[unitname],SMALL(IF((tblunits[nation]=$B$23)*(tblunits[division]=#REF!)*(tblunits[squadtype]=$D$7),ROW(tblunits[unitname])-MIN(ROW(tblunits[unitname]))+1),ROWS($A$83:A132))),"")</f>
        <v/>
      </c>
    </row>
    <row r="133" spans="1:1" x14ac:dyDescent="0.35">
      <c r="A133" s="2" t="str">
        <f t="array" ref="A133">IFERROR(INDEX(tblunits[unitname],SMALL(IF((tblunits[nation]=$B$23)*(tblunits[division]=#REF!)*(tblunits[squadtype]=$D$7),ROW(tblunits[unitname])-MIN(ROW(tblunits[unitname]))+1),ROWS($A$83:A133))),"")</f>
        <v/>
      </c>
    </row>
    <row r="134" spans="1:1" x14ac:dyDescent="0.35">
      <c r="A134" s="2" t="str">
        <f t="array" ref="A134">IFERROR(INDEX(tblunits[unitname],SMALL(IF((tblunits[nation]=$B$23)*(tblunits[division]=#REF!)*(tblunits[squadtype]=$D$7),ROW(tblunits[unitname])-MIN(ROW(tblunits[unitname]))+1),ROWS($A$83:A134))),"")</f>
        <v/>
      </c>
    </row>
    <row r="135" spans="1:1" x14ac:dyDescent="0.35">
      <c r="A135" s="2" t="str">
        <f t="array" ref="A135">IFERROR(INDEX(tblunits[unitname],SMALL(IF((tblunits[nation]=$B$23)*(tblunits[division]=#REF!)*(tblunits[squadtype]=$D$7),ROW(tblunits[unitname])-MIN(ROW(tblunits[unitname]))+1),ROWS($A$83:A135))),"")</f>
        <v/>
      </c>
    </row>
    <row r="136" spans="1:1" x14ac:dyDescent="0.35">
      <c r="A136" s="2" t="str">
        <f t="array" ref="A136">IFERROR(INDEX(tblunits[unitname],SMALL(IF((tblunits[nation]=$B$23)*(tblunits[division]=#REF!)*(tblunits[squadtype]=$D$7),ROW(tblunits[unitname])-MIN(ROW(tblunits[unitname]))+1),ROWS($A$83:A136))),"")</f>
        <v/>
      </c>
    </row>
    <row r="137" spans="1:1" x14ac:dyDescent="0.35">
      <c r="A137" s="2" t="str">
        <f t="array" ref="A137">IFERROR(INDEX(tblunits[unitname],SMALL(IF((tblunits[nation]=$B$23)*(tblunits[division]=#REF!)*(tblunits[squadtype]=$D$7),ROW(tblunits[unitname])-MIN(ROW(tblunits[unitname]))+1),ROWS($A$83:A137))),"")</f>
        <v/>
      </c>
    </row>
    <row r="138" spans="1:1" x14ac:dyDescent="0.35">
      <c r="A138" s="2" t="str">
        <f t="array" ref="A138">IFERROR(INDEX(tblunits[unitname],SMALL(IF((tblunits[nation]=$B$23)*(tblunits[division]=#REF!)*(tblunits[squadtype]=$D$7),ROW(tblunits[unitname])-MIN(ROW(tblunits[unitname]))+1),ROWS($A$83:A138))),"")</f>
        <v/>
      </c>
    </row>
    <row r="139" spans="1:1" x14ac:dyDescent="0.35">
      <c r="A139" s="2" t="str">
        <f t="array" ref="A139">IFERROR(INDEX(tblunits[unitname],SMALL(IF((tblunits[nation]=$B$23)*(tblunits[division]=#REF!)*(tblunits[squadtype]=$D$7),ROW(tblunits[unitname])-MIN(ROW(tblunits[unitname]))+1),ROWS($A$83:A139))),"")</f>
        <v/>
      </c>
    </row>
    <row r="140" spans="1:1" x14ac:dyDescent="0.35">
      <c r="A140" s="2" t="str">
        <f t="array" ref="A140">IFERROR(INDEX(tblunits[unitname],SMALL(IF((tblunits[nation]=$B$23)*(tblunits[division]=#REF!)*(tblunits[squadtype]=$D$7),ROW(tblunits[unitname])-MIN(ROW(tblunits[unitname]))+1),ROWS($A$83:A140))),"")</f>
        <v/>
      </c>
    </row>
    <row r="141" spans="1:1" x14ac:dyDescent="0.35">
      <c r="A141" s="2" t="str">
        <f t="array" ref="A141">IFERROR(INDEX(tblunits[unitname],SMALL(IF((tblunits[nation]=$B$23)*(tblunits[division]=#REF!)*(tblunits[squadtype]=$D$7),ROW(tblunits[unitname])-MIN(ROW(tblunits[unitname]))+1),ROWS($A$83:A141))),"")</f>
        <v/>
      </c>
    </row>
    <row r="142" spans="1:1" x14ac:dyDescent="0.35">
      <c r="A142" s="2" t="str">
        <f t="array" ref="A142">IFERROR(INDEX(tblunits[unitname],SMALL(IF((tblunits[nation]=$B$23)*(tblunits[division]=#REF!)*(tblunits[squadtype]=$D$7),ROW(tblunits[unitname])-MIN(ROW(tblunits[unitname]))+1),ROWS($A$83:A142))),"")</f>
        <v/>
      </c>
    </row>
    <row r="143" spans="1:1" x14ac:dyDescent="0.35">
      <c r="A143" s="2" t="str">
        <f t="array" ref="A143">IFERROR(INDEX(tblunits[unitname],SMALL(IF((tblunits[nation]=$B$23)*(tblunits[division]=#REF!)*(tblunits[squadtype]=$D$7),ROW(tblunits[unitname])-MIN(ROW(tblunits[unitname]))+1),ROWS($A$83:A143))),"")</f>
        <v/>
      </c>
    </row>
    <row r="144" spans="1:1" x14ac:dyDescent="0.35">
      <c r="A144" s="2" t="str">
        <f t="array" ref="A144">IFERROR(INDEX(tblunits[unitname],SMALL(IF((tblunits[nation]=$B$23)*(tblunits[division]=#REF!)*(tblunits[squadtype]=$D$7),ROW(tblunits[unitname])-MIN(ROW(tblunits[unitname]))+1),ROWS($A$83:A144))),"")</f>
        <v/>
      </c>
    </row>
    <row r="145" spans="1:1" x14ac:dyDescent="0.35">
      <c r="A145" s="2" t="str">
        <f t="array" ref="A145">IFERROR(INDEX(tblunits[unitname],SMALL(IF((tblunits[nation]=$B$23)*(tblunits[division]=#REF!)*(tblunits[squadtype]=$D$7),ROW(tblunits[unitname])-MIN(ROW(tblunits[unitname]))+1),ROWS($A$83:A145))),"")</f>
        <v/>
      </c>
    </row>
    <row r="146" spans="1:1" x14ac:dyDescent="0.35">
      <c r="A146" s="2" t="str">
        <f t="array" ref="A146">IFERROR(INDEX(tblunits[unitname],SMALL(IF((tblunits[nation]=$B$23)*(tblunits[division]=#REF!)*(tblunits[squadtype]=$D$7),ROW(tblunits[unitname])-MIN(ROW(tblunits[unitname]))+1),ROWS($A$83:A146))),"")</f>
        <v/>
      </c>
    </row>
    <row r="147" spans="1:1" x14ac:dyDescent="0.35">
      <c r="A147" s="2" t="str">
        <f t="array" ref="A147">IFERROR(INDEX(tblunits[unitname],SMALL(IF((tblunits[nation]=$B$23)*(tblunits[division]=#REF!)*(tblunits[squadtype]=$D$7),ROW(tblunits[unitname])-MIN(ROW(tblunits[unitname]))+1),ROWS($A$83:A147))),"")</f>
        <v/>
      </c>
    </row>
    <row r="148" spans="1:1" x14ac:dyDescent="0.35">
      <c r="A148" s="2" t="str">
        <f t="array" ref="A148">IFERROR(INDEX(tblunits[unitname],SMALL(IF((tblunits[nation]=$B$23)*(tblunits[division]=#REF!)*(tblunits[squadtype]=$D$7),ROW(tblunits[unitname])-MIN(ROW(tblunits[unitname]))+1),ROWS($A$83:A148))),"")</f>
        <v/>
      </c>
    </row>
    <row r="149" spans="1:1" x14ac:dyDescent="0.35">
      <c r="A149" s="2" t="str">
        <f t="array" ref="A149">IFERROR(INDEX(tblunits[unitname],SMALL(IF((tblunits[nation]=$B$23)*(tblunits[division]=#REF!)*(tblunits[squadtype]=$D$7),ROW(tblunits[unitname])-MIN(ROW(tblunits[unitname]))+1),ROWS($A$83:A149))),"")</f>
        <v/>
      </c>
    </row>
    <row r="150" spans="1:1" x14ac:dyDescent="0.35">
      <c r="A150" s="2" t="str">
        <f t="array" ref="A150">IFERROR(INDEX(tblunits[unitname],SMALL(IF((tblunits[nation]=$B$23)*(tblunits[division]=#REF!)*(tblunits[squadtype]=$D$7),ROW(tblunits[unitname])-MIN(ROW(tblunits[unitname]))+1),ROWS($A$83:A150))),"")</f>
        <v/>
      </c>
    </row>
    <row r="151" spans="1:1" x14ac:dyDescent="0.35">
      <c r="A151" s="2" t="str">
        <f t="array" ref="A151">IFERROR(INDEX(tblunits[unitname],SMALL(IF((tblunits[nation]=$B$23)*(tblunits[division]=#REF!)*(tblunits[squadtype]=$D$7),ROW(tblunits[unitname])-MIN(ROW(tblunits[unitname]))+1),ROWS($A$83:A151))),"")</f>
        <v/>
      </c>
    </row>
    <row r="152" spans="1:1" x14ac:dyDescent="0.35">
      <c r="A152" s="2" t="str">
        <f t="array" ref="A152">IFERROR(INDEX(tblunits[unitname],SMALL(IF((tblunits[nation]=$B$23)*(tblunits[division]=#REF!)*(tblunits[squadtype]=$D$7),ROW(tblunits[unitname])-MIN(ROW(tblunits[unitname]))+1),ROWS($A$83:A152))),"")</f>
        <v/>
      </c>
    </row>
    <row r="153" spans="1:1" x14ac:dyDescent="0.35">
      <c r="A153" s="2" t="str">
        <f t="array" ref="A153">IFERROR(INDEX(tblunits[unitname],SMALL(IF((tblunits[nation]=$B$23)*(tblunits[division]=#REF!)*(tblunits[squadtype]=$D$7),ROW(tblunits[unitname])-MIN(ROW(tblunits[unitname]))+1),ROWS($A$83:A153))),"")</f>
        <v/>
      </c>
    </row>
    <row r="154" spans="1:1" x14ac:dyDescent="0.35">
      <c r="A154" s="2" t="str">
        <f t="array" ref="A154">IFERROR(INDEX(tblunits[unitname],SMALL(IF((tblunits[nation]=$B$23)*(tblunits[division]=#REF!)*(tblunits[squadtype]=$D$7),ROW(tblunits[unitname])-MIN(ROW(tblunits[unitname]))+1),ROWS($A$83:A154))),"")</f>
        <v/>
      </c>
    </row>
    <row r="155" spans="1:1" x14ac:dyDescent="0.35">
      <c r="A155" s="2" t="str">
        <f t="array" ref="A155">IFERROR(INDEX(tblunits[unitname],SMALL(IF((tblunits[nation]=$B$23)*(tblunits[division]=#REF!)*(tblunits[squadtype]=$D$7),ROW(tblunits[unitname])-MIN(ROW(tblunits[unitname]))+1),ROWS($A$83:A155))),"")</f>
        <v/>
      </c>
    </row>
    <row r="156" spans="1:1" x14ac:dyDescent="0.35">
      <c r="A156" s="2" t="str">
        <f t="array" ref="A156">IFERROR(INDEX(tblunits[unitname],SMALL(IF((tblunits[nation]=$B$23)*(tblunits[division]=#REF!)*(tblunits[squadtype]=$D$7),ROW(tblunits[unitname])-MIN(ROW(tblunits[unitname]))+1),ROWS($A$83:A156))),"")</f>
        <v/>
      </c>
    </row>
    <row r="157" spans="1:1" x14ac:dyDescent="0.35">
      <c r="A157" s="2" t="str">
        <f t="array" ref="A157">IFERROR(INDEX(tblunits[unitname],SMALL(IF((tblunits[nation]=$B$23)*(tblunits[division]=#REF!)*(tblunits[squadtype]=$D$7),ROW(tblunits[unitname])-MIN(ROW(tblunits[unitname]))+1),ROWS($A$83:A157))),"")</f>
        <v/>
      </c>
    </row>
    <row r="158" spans="1:1" x14ac:dyDescent="0.35">
      <c r="A158" s="2" t="str">
        <f t="array" ref="A158">IFERROR(INDEX(tblunits[unitname],SMALL(IF((tblunits[nation]=$B$23)*(tblunits[division]=#REF!)*(tblunits[squadtype]=$D$7),ROW(tblunits[unitname])-MIN(ROW(tblunits[unitname]))+1),ROWS($A$83:A158))),"")</f>
        <v/>
      </c>
    </row>
    <row r="159" spans="1:1" x14ac:dyDescent="0.35">
      <c r="A159" s="2" t="str">
        <f t="array" ref="A159">IFERROR(INDEX(tblunits[unitname],SMALL(IF((tblunits[nation]=$B$23)*(tblunits[division]=#REF!)*(tblunits[squadtype]=$D$7),ROW(tblunits[unitname])-MIN(ROW(tblunits[unitname]))+1),ROWS($A$83:A159))),"")</f>
        <v/>
      </c>
    </row>
    <row r="160" spans="1:1" x14ac:dyDescent="0.35">
      <c r="A160" s="2" t="str">
        <f t="array" ref="A160">IFERROR(INDEX(tblunits[unitname],SMALL(IF((tblunits[nation]=$B$23)*(tblunits[division]=#REF!)*(tblunits[squadtype]=$D$7),ROW(tblunits[unitname])-MIN(ROW(tblunits[unitname]))+1),ROWS($A$83:A160))),"")</f>
        <v/>
      </c>
    </row>
    <row r="161" spans="1:1" x14ac:dyDescent="0.35">
      <c r="A161" s="2" t="str">
        <f t="array" ref="A161">IFERROR(INDEX(tblunits[unitname],SMALL(IF((tblunits[nation]=$B$23)*(tblunits[division]=#REF!)*(tblunits[squadtype]=$D$7),ROW(tblunits[unitname])-MIN(ROW(tblunits[unitname]))+1),ROWS($A$83:A161))),"")</f>
        <v/>
      </c>
    </row>
    <row r="162" spans="1:1" x14ac:dyDescent="0.35">
      <c r="A162" s="2" t="str">
        <f t="array" ref="A162">IFERROR(INDEX(tblunits[unitname],SMALL(IF((tblunits[nation]=$B$23)*(tblunits[division]=#REF!)*(tblunits[squadtype]=$D$7),ROW(tblunits[unitname])-MIN(ROW(tblunits[unitname]))+1),ROWS($A$83:A162))),"")</f>
        <v/>
      </c>
    </row>
    <row r="163" spans="1:1" x14ac:dyDescent="0.35">
      <c r="A163" s="2" t="str">
        <f t="array" ref="A163">IFERROR(INDEX(tblunits[unitname],SMALL(IF((tblunits[nation]=$B$23)*(tblunits[division]=#REF!)*(tblunits[squadtype]=$D$7),ROW(tblunits[unitname])-MIN(ROW(tblunits[unitname]))+1),ROWS($A$83:A163))),"")</f>
        <v/>
      </c>
    </row>
    <row r="164" spans="1:1" x14ac:dyDescent="0.35">
      <c r="A164" s="2" t="str">
        <f t="array" ref="A164">IFERROR(INDEX(tblunits[unitname],SMALL(IF((tblunits[nation]=$B$23)*(tblunits[division]=#REF!)*(tblunits[squadtype]=$D$7),ROW(tblunits[unitname])-MIN(ROW(tblunits[unitname]))+1),ROWS($A$83:A164))),"")</f>
        <v/>
      </c>
    </row>
    <row r="165" spans="1:1" x14ac:dyDescent="0.35">
      <c r="A165" s="2" t="str">
        <f t="array" ref="A165">IFERROR(INDEX(tblunits[unitname],SMALL(IF((tblunits[nation]=$B$23)*(tblunits[division]=#REF!)*(tblunits[squadtype]=$D$7),ROW(tblunits[unitname])-MIN(ROW(tblunits[unitname]))+1),ROWS($A$83:A165))),"")</f>
        <v/>
      </c>
    </row>
    <row r="166" spans="1:1" x14ac:dyDescent="0.35">
      <c r="A166" s="2" t="str">
        <f t="array" ref="A166">IFERROR(INDEX(tblunits[unitname],SMALL(IF((tblunits[nation]=$B$23)*(tblunits[division]=#REF!)*(tblunits[squadtype]=$D$7),ROW(tblunits[unitname])-MIN(ROW(tblunits[unitname]))+1),ROWS($A$83:A166))),"")</f>
        <v/>
      </c>
    </row>
    <row r="167" spans="1:1" x14ac:dyDescent="0.35">
      <c r="A167" s="2" t="str">
        <f t="array" ref="A167">IFERROR(INDEX(tblunits[unitname],SMALL(IF((tblunits[nation]=$B$23)*(tblunits[division]=#REF!)*(tblunits[squadtype]=$D$7),ROW(tblunits[unitname])-MIN(ROW(tblunits[unitname]))+1),ROWS($A$83:A167))),"")</f>
        <v/>
      </c>
    </row>
    <row r="168" spans="1:1" x14ac:dyDescent="0.35">
      <c r="A168" s="2" t="str">
        <f t="array" ref="A168">IFERROR(INDEX(tblunits[unitname],SMALL(IF((tblunits[nation]=$B$23)*(tblunits[division]=#REF!)*(tblunits[squadtype]=$D$7),ROW(tblunits[unitname])-MIN(ROW(tblunits[unitname]))+1),ROWS($A$83:A168))),"")</f>
        <v/>
      </c>
    </row>
    <row r="169" spans="1:1" x14ac:dyDescent="0.35">
      <c r="A169" s="2" t="str">
        <f t="array" ref="A169">IFERROR(INDEX(tblunits[unitname],SMALL(IF((tblunits[nation]=$B$23)*(tblunits[division]=#REF!)*(tblunits[squadtype]=$D$7),ROW(tblunits[unitname])-MIN(ROW(tblunits[unitname]))+1),ROWS($A$83:A169))),"")</f>
        <v/>
      </c>
    </row>
    <row r="170" spans="1:1" x14ac:dyDescent="0.35">
      <c r="A170" s="2" t="str">
        <f t="array" ref="A170">IFERROR(INDEX(tblunits[unitname],SMALL(IF((tblunits[nation]=$B$23)*(tblunits[division]=#REF!)*(tblunits[squadtype]=$D$7),ROW(tblunits[unitname])-MIN(ROW(tblunits[unitname]))+1),ROWS($A$83:A170))),"")</f>
        <v/>
      </c>
    </row>
    <row r="171" spans="1:1" x14ac:dyDescent="0.35">
      <c r="A171" s="2" t="str">
        <f t="array" ref="A171">IFERROR(INDEX(tblunits[unitname],SMALL(IF((tblunits[nation]=$B$23)*(tblunits[division]=#REF!)*(tblunits[squadtype]=$D$7),ROW(tblunits[unitname])-MIN(ROW(tblunits[unitname]))+1),ROWS($A$83:A171))),"")</f>
        <v/>
      </c>
    </row>
    <row r="172" spans="1:1" x14ac:dyDescent="0.35">
      <c r="A172" s="2" t="str">
        <f t="array" ref="A172">IFERROR(INDEX(tblunits[unitname],SMALL(IF((tblunits[nation]=$B$23)*(tblunits[division]=#REF!)*(tblunits[squadtype]=$D$7),ROW(tblunits[unitname])-MIN(ROW(tblunits[unitname]))+1),ROWS($A$83:A172))),"")</f>
        <v/>
      </c>
    </row>
    <row r="173" spans="1:1" x14ac:dyDescent="0.35">
      <c r="A173" s="2" t="str">
        <f t="array" ref="A173">IFERROR(INDEX(tblunits[unitname],SMALL(IF((tblunits[nation]=$B$23)*(tblunits[division]=#REF!)*(tblunits[squadtype]=$D$7),ROW(tblunits[unitname])-MIN(ROW(tblunits[unitname]))+1),ROWS($A$83:A173))),"")</f>
        <v/>
      </c>
    </row>
    <row r="174" spans="1:1" x14ac:dyDescent="0.35">
      <c r="A174" s="2" t="str">
        <f t="array" ref="A174">IFERROR(INDEX(tblunits[unitname],SMALL(IF((tblunits[nation]=$B$23)*(tblunits[division]=#REF!)*(tblunits[squadtype]=$D$7),ROW(tblunits[unitname])-MIN(ROW(tblunits[unitname]))+1),ROWS($A$83:A174))),"")</f>
        <v/>
      </c>
    </row>
    <row r="175" spans="1:1" x14ac:dyDescent="0.35">
      <c r="A175" s="2" t="str">
        <f t="array" ref="A175">IFERROR(INDEX(tblunits[unitname],SMALL(IF((tblunits[nation]=$B$23)*(tblunits[division]=#REF!)*(tblunits[squadtype]=$D$7),ROW(tblunits[unitname])-MIN(ROW(tblunits[unitname]))+1),ROWS($A$83:A175))),"")</f>
        <v/>
      </c>
    </row>
    <row r="176" spans="1:1" x14ac:dyDescent="0.35">
      <c r="A176" s="2" t="str">
        <f t="array" ref="A176">IFERROR(INDEX(tblunits[unitname],SMALL(IF((tblunits[nation]=$B$23)*(tblunits[division]=#REF!)*(tblunits[squadtype]=$D$7),ROW(tblunits[unitname])-MIN(ROW(tblunits[unitname]))+1),ROWS($A$83:A176))),"")</f>
        <v/>
      </c>
    </row>
    <row r="177" spans="1:1" x14ac:dyDescent="0.35">
      <c r="A177" s="2" t="str">
        <f t="array" ref="A177">IFERROR(INDEX(tblunits[unitname],SMALL(IF((tblunits[nation]=$B$23)*(tblunits[division]=#REF!)*(tblunits[squadtype]=$D$7),ROW(tblunits[unitname])-MIN(ROW(tblunits[unitname]))+1),ROWS($A$83:A177))),"")</f>
        <v/>
      </c>
    </row>
    <row r="178" spans="1:1" x14ac:dyDescent="0.35">
      <c r="A178" s="2" t="str">
        <f t="array" ref="A178">IFERROR(INDEX(tblunits[unitname],SMALL(IF((tblunits[nation]=$B$23)*(tblunits[division]=#REF!)*(tblunits[squadtype]=$D$7),ROW(tblunits[unitname])-MIN(ROW(tblunits[unitname]))+1),ROWS($A$83:A178))),"")</f>
        <v/>
      </c>
    </row>
    <row r="179" spans="1:1" x14ac:dyDescent="0.35">
      <c r="A179" s="2" t="str">
        <f t="array" ref="A179">IFERROR(INDEX(tblunits[unitname],SMALL(IF((tblunits[nation]=$B$23)*(tblunits[division]=#REF!)*(tblunits[squadtype]=$D$7),ROW(tblunits[unitname])-MIN(ROW(tblunits[unitname]))+1),ROWS($A$83:A179))),"")</f>
        <v/>
      </c>
    </row>
    <row r="180" spans="1:1" x14ac:dyDescent="0.35">
      <c r="A180" s="2" t="str">
        <f t="array" ref="A180">IFERROR(INDEX(tblunits[unitname],SMALL(IF((tblunits[nation]=$B$23)*(tblunits[division]=#REF!)*(tblunits[squadtype]=$D$7),ROW(tblunits[unitname])-MIN(ROW(tblunits[unitname]))+1),ROWS($A$83:A180))),"")</f>
        <v/>
      </c>
    </row>
    <row r="181" spans="1:1" x14ac:dyDescent="0.35">
      <c r="A181" s="2" t="str">
        <f t="array" ref="A181">IFERROR(INDEX(tblunits[unitname],SMALL(IF((tblunits[nation]=$B$23)*(tblunits[division]=#REF!)*(tblunits[squadtype]=$D$7),ROW(tblunits[unitname])-MIN(ROW(tblunits[unitname]))+1),ROWS($A$83:A181))),"")</f>
        <v/>
      </c>
    </row>
    <row r="182" spans="1:1" x14ac:dyDescent="0.35">
      <c r="A182" s="2" t="str">
        <f t="array" ref="A182">IFERROR(INDEX(tblunits[unitname],SMALL(IF((tblunits[nation]=$B$23)*(tblunits[division]=#REF!)*(tblunits[squadtype]=$D$7),ROW(tblunits[unitname])-MIN(ROW(tblunits[unitname]))+1),ROWS($A$83:A182))),"")</f>
        <v/>
      </c>
    </row>
    <row r="183" spans="1:1" x14ac:dyDescent="0.35">
      <c r="A183" s="2" t="str">
        <f t="array" ref="A183">IFERROR(INDEX(tblunits[unitname],SMALL(IF((tblunits[nation]=$B$23)*(tblunits[division]=#REF!)*(tblunits[squadtype]=$D$7),ROW(tblunits[unitname])-MIN(ROW(tblunits[unitname]))+1),ROWS($A$83:A183))),"")</f>
        <v/>
      </c>
    </row>
    <row r="184" spans="1:1" x14ac:dyDescent="0.35">
      <c r="A184" s="2" t="str">
        <f t="array" ref="A184">IFERROR(INDEX(tblunits[unitname],SMALL(IF((tblunits[nation]=$B$23)*(tblunits[division]=#REF!)*(tblunits[squadtype]=$D$7),ROW(tblunits[unitname])-MIN(ROW(tblunits[unitname]))+1),ROWS($A$83:A184))),"")</f>
        <v/>
      </c>
    </row>
    <row r="185" spans="1:1" x14ac:dyDescent="0.35">
      <c r="A185" s="2" t="str">
        <f t="array" ref="A185">IFERROR(INDEX(tblunits[unitname],SMALL(IF((tblunits[nation]=$B$23)*(tblunits[division]=#REF!)*(tblunits[squadtype]=$D$7),ROW(tblunits[unitname])-MIN(ROW(tblunits[unitname]))+1),ROWS($A$83:A185))),"")</f>
        <v/>
      </c>
    </row>
    <row r="186" spans="1:1" x14ac:dyDescent="0.35">
      <c r="A186" s="2" t="str">
        <f t="array" ref="A186">IFERROR(INDEX(tblunits[unitname],SMALL(IF((tblunits[nation]=$B$23)*(tblunits[division]=#REF!)*(tblunits[squadtype]=$D$7),ROW(tblunits[unitname])-MIN(ROW(tblunits[unitname]))+1),ROWS($A$83:A186))),"")</f>
        <v/>
      </c>
    </row>
    <row r="187" spans="1:1" x14ac:dyDescent="0.35">
      <c r="A187" s="2" t="str">
        <f t="array" ref="A187">IFERROR(INDEX(tblunits[unitname],SMALL(IF((tblunits[nation]=$B$23)*(tblunits[division]=#REF!)*(tblunits[squadtype]=$D$7),ROW(tblunits[unitname])-MIN(ROW(tblunits[unitname]))+1),ROWS($A$83:A187))),"")</f>
        <v/>
      </c>
    </row>
    <row r="188" spans="1:1" x14ac:dyDescent="0.35">
      <c r="A188" s="2" t="str">
        <f t="array" ref="A188">IFERROR(INDEX(tblunits[unitname],SMALL(IF((tblunits[nation]=$B$23)*(tblunits[division]=#REF!)*(tblunits[squadtype]=$D$7),ROW(tblunits[unitname])-MIN(ROW(tblunits[unitname]))+1),ROWS($A$83:A188))),"")</f>
        <v/>
      </c>
    </row>
    <row r="189" spans="1:1" x14ac:dyDescent="0.35">
      <c r="A189" s="2" t="str">
        <f t="array" ref="A189">IFERROR(INDEX(tblunits[unitname],SMALL(IF((tblunits[nation]=$B$23)*(tblunits[division]=#REF!)*(tblunits[squadtype]=$D$7),ROW(tblunits[unitname])-MIN(ROW(tblunits[unitname]))+1),ROWS($A$83:A189))),"")</f>
        <v/>
      </c>
    </row>
    <row r="190" spans="1:1" x14ac:dyDescent="0.35">
      <c r="A190" s="2" t="str">
        <f t="array" ref="A190">IFERROR(INDEX(tblunits[unitname],SMALL(IF((tblunits[nation]=$B$23)*(tblunits[division]=#REF!)*(tblunits[squadtype]=$D$7),ROW(tblunits[unitname])-MIN(ROW(tblunits[unitname]))+1),ROWS($A$83:A190))),"")</f>
        <v/>
      </c>
    </row>
    <row r="191" spans="1:1" x14ac:dyDescent="0.35">
      <c r="A191" s="2" t="str">
        <f t="array" ref="A191">IFERROR(INDEX(tblunits[unitname],SMALL(IF((tblunits[nation]=$B$23)*(tblunits[division]=#REF!)*(tblunits[squadtype]=$D$7),ROW(tblunits[unitname])-MIN(ROW(tblunits[unitname]))+1),ROWS($A$83:A191))),"")</f>
        <v/>
      </c>
    </row>
    <row r="192" spans="1:1" x14ac:dyDescent="0.35">
      <c r="A192" s="2" t="str">
        <f t="array" ref="A192">IFERROR(INDEX(tblunits[unitname],SMALL(IF((tblunits[nation]=$B$23)*(tblunits[division]=#REF!)*(tblunits[squadtype]=$D$7),ROW(tblunits[unitname])-MIN(ROW(tblunits[unitname]))+1),ROWS($A$83:A192))),"")</f>
        <v/>
      </c>
    </row>
    <row r="193" spans="1:1" x14ac:dyDescent="0.35">
      <c r="A193" s="2" t="str">
        <f t="array" ref="A193">IFERROR(INDEX(tblunits[unitname],SMALL(IF((tblunits[nation]=$B$23)*(tblunits[division]=#REF!)*(tblunits[squadtype]=$D$7),ROW(tblunits[unitname])-MIN(ROW(tblunits[unitname]))+1),ROWS($A$83:A193))),"")</f>
        <v/>
      </c>
    </row>
    <row r="194" spans="1:1" x14ac:dyDescent="0.35">
      <c r="A194" s="2" t="str">
        <f t="array" ref="A194">IFERROR(INDEX(tblunits[unitname],SMALL(IF((tblunits[nation]=$B$23)*(tblunits[division]=#REF!)*(tblunits[squadtype]=$D$7),ROW(tblunits[unitname])-MIN(ROW(tblunits[unitname]))+1),ROWS($A$83:A194))),"")</f>
        <v/>
      </c>
    </row>
    <row r="195" spans="1:1" x14ac:dyDescent="0.35">
      <c r="A195" s="2" t="str">
        <f t="array" ref="A195">IFERROR(INDEX(tblunits[unitname],SMALL(IF((tblunits[nation]=$B$23)*(tblunits[division]=#REF!)*(tblunits[squadtype]=$D$7),ROW(tblunits[unitname])-MIN(ROW(tblunits[unitname]))+1),ROWS($A$83:A195))),"")</f>
        <v/>
      </c>
    </row>
    <row r="196" spans="1:1" x14ac:dyDescent="0.35">
      <c r="A196" s="2" t="str">
        <f t="array" ref="A196">IFERROR(INDEX(tblunits[unitname],SMALL(IF((tblunits[nation]=$B$23)*(tblunits[division]=#REF!)*(tblunits[squadtype]=$D$7),ROW(tblunits[unitname])-MIN(ROW(tblunits[unitname]))+1),ROWS($A$83:A196))),"")</f>
        <v/>
      </c>
    </row>
    <row r="197" spans="1:1" x14ac:dyDescent="0.35">
      <c r="A197" s="2" t="str">
        <f t="array" ref="A197">IFERROR(INDEX(tblunits[unitname],SMALL(IF((tblunits[nation]=$B$23)*(tblunits[division]=#REF!)*(tblunits[squadtype]=$D$7),ROW(tblunits[unitname])-MIN(ROW(tblunits[unitname]))+1),ROWS($A$83:A197))),"")</f>
        <v/>
      </c>
    </row>
    <row r="198" spans="1:1" x14ac:dyDescent="0.35">
      <c r="A198" s="2" t="str">
        <f t="array" ref="A198">IFERROR(INDEX(tblunits[unitname],SMALL(IF((tblunits[nation]=$B$23)*(tblunits[division]=#REF!)*(tblunits[squadtype]=$D$7),ROW(tblunits[unitname])-MIN(ROW(tblunits[unitname]))+1),ROWS($A$83:A198))),"")</f>
        <v/>
      </c>
    </row>
    <row r="199" spans="1:1" x14ac:dyDescent="0.35">
      <c r="A199" s="2" t="str">
        <f t="array" ref="A199">IFERROR(INDEX(tblunits[unitname],SMALL(IF((tblunits[nation]=$B$23)*(tblunits[division]=#REF!)*(tblunits[squadtype]=$D$7),ROW(tblunits[unitname])-MIN(ROW(tblunits[unitname]))+1),ROWS($A$83:A199))),"")</f>
        <v/>
      </c>
    </row>
    <row r="200" spans="1:1" x14ac:dyDescent="0.35">
      <c r="A200" s="2" t="str">
        <f t="array" ref="A200">IFERROR(INDEX(tblunits[unitname],SMALL(IF((tblunits[nation]=$B$23)*(tblunits[division]=#REF!)*(tblunits[squadtype]=$D$7),ROW(tblunits[unitname])-MIN(ROW(tblunits[unitname]))+1),ROWS($A$83:A200))),"")</f>
        <v/>
      </c>
    </row>
    <row r="201" spans="1:1" x14ac:dyDescent="0.35">
      <c r="A201" s="2" t="str">
        <f t="array" ref="A201">IFERROR(INDEX(tblunits[unitname],SMALL(IF((tblunits[nation]=$B$23)*(tblunits[division]=#REF!)*(tblunits[squadtype]=$D$7),ROW(tblunits[unitname])-MIN(ROW(tblunits[unitname]))+1),ROWS($A$83:A201))),"")</f>
        <v/>
      </c>
    </row>
    <row r="202" spans="1:1" x14ac:dyDescent="0.35">
      <c r="A202" s="2" t="str">
        <f t="array" ref="A202">IFERROR(INDEX(tblunits[unitname],SMALL(IF((tblunits[nation]=$B$23)*(tblunits[division]=#REF!)*(tblunits[squadtype]=$D$7),ROW(tblunits[unitname])-MIN(ROW(tblunits[unitname]))+1),ROWS($A$83:A202))),"")</f>
        <v/>
      </c>
    </row>
    <row r="203" spans="1:1" x14ac:dyDescent="0.35">
      <c r="A203" s="2" t="str">
        <f t="array" ref="A203">IFERROR(INDEX(tblunits[unitname],SMALL(IF((tblunits[nation]=$B$23)*(tblunits[division]=#REF!)*(tblunits[squadtype]=$D$7),ROW(tblunits[unitname])-MIN(ROW(tblunits[unitname]))+1),ROWS($A$83:A203))),"")</f>
        <v/>
      </c>
    </row>
    <row r="204" spans="1:1" x14ac:dyDescent="0.35">
      <c r="A204" s="2" t="str">
        <f t="array" ref="A204">IFERROR(INDEX(tblunits[unitname],SMALL(IF((tblunits[nation]=$B$23)*(tblunits[division]=#REF!)*(tblunits[squadtype]=$D$7),ROW(tblunits[unitname])-MIN(ROW(tblunits[unitname]))+1),ROWS($A$83:A204))),"")</f>
        <v/>
      </c>
    </row>
    <row r="205" spans="1:1" x14ac:dyDescent="0.35">
      <c r="A205" s="2" t="str">
        <f t="array" ref="A205">IFERROR(INDEX(tblunits[unitname],SMALL(IF((tblunits[nation]=$B$23)*(tblunits[division]=#REF!)*(tblunits[squadtype]=$D$7),ROW(tblunits[unitname])-MIN(ROW(tblunits[unitname]))+1),ROWS($A$83:A205))),"")</f>
        <v/>
      </c>
    </row>
    <row r="206" spans="1:1" x14ac:dyDescent="0.35">
      <c r="A206" s="2" t="str">
        <f t="array" ref="A206">IFERROR(INDEX(tblunits[unitname],SMALL(IF((tblunits[nation]=$B$23)*(tblunits[division]=#REF!)*(tblunits[squadtype]=$D$7),ROW(tblunits[unitname])-MIN(ROW(tblunits[unitname]))+1),ROWS($A$83:A206))),"")</f>
        <v/>
      </c>
    </row>
    <row r="207" spans="1:1" x14ac:dyDescent="0.35">
      <c r="A207" s="2" t="str">
        <f t="array" ref="A207">IFERROR(INDEX(tblunits[unitname],SMALL(IF((tblunits[nation]=$B$23)*(tblunits[division]=#REF!)*(tblunits[squadtype]=$D$7),ROW(tblunits[unitname])-MIN(ROW(tblunits[unitname]))+1),ROWS($A$83:A207))),"")</f>
        <v/>
      </c>
    </row>
    <row r="208" spans="1:1" x14ac:dyDescent="0.35">
      <c r="A208" s="2" t="str">
        <f t="array" ref="A208">IFERROR(INDEX(tblunits[unitname],SMALL(IF((tblunits[nation]=$B$23)*(tblunits[division]=#REF!)*(tblunits[squadtype]=$D$7),ROW(tblunits[unitname])-MIN(ROW(tblunits[unitname]))+1),ROWS($A$83:A208))),"")</f>
        <v/>
      </c>
    </row>
    <row r="209" spans="1:1" x14ac:dyDescent="0.35">
      <c r="A209" s="2" t="str">
        <f t="array" ref="A209">IFERROR(INDEX(tblunits[unitname],SMALL(IF((tblunits[nation]=$B$23)*(tblunits[division]=#REF!)*(tblunits[squadtype]=$D$7),ROW(tblunits[unitname])-MIN(ROW(tblunits[unitname]))+1),ROWS($A$83:A209))),"")</f>
        <v/>
      </c>
    </row>
    <row r="210" spans="1:1" x14ac:dyDescent="0.35">
      <c r="A210" s="2" t="str">
        <f t="array" ref="A210">IFERROR(INDEX(tblunits[unitname],SMALL(IF((tblunits[nation]=$B$23)*(tblunits[division]=#REF!)*(tblunits[squadtype]=$D$7),ROW(tblunits[unitname])-MIN(ROW(tblunits[unitname]))+1),ROWS($A$83:A210))),"")</f>
        <v/>
      </c>
    </row>
    <row r="211" spans="1:1" x14ac:dyDescent="0.35">
      <c r="A211" s="2" t="str">
        <f t="array" ref="A211">IFERROR(INDEX(tblunits[unitname],SMALL(IF((tblunits[nation]=$B$23)*(tblunits[division]=#REF!)*(tblunits[squadtype]=$D$7),ROW(tblunits[unitname])-MIN(ROW(tblunits[unitname]))+1),ROWS($A$83:A211))),"")</f>
        <v/>
      </c>
    </row>
    <row r="212" spans="1:1" x14ac:dyDescent="0.35">
      <c r="A212" s="2" t="str">
        <f t="array" ref="A212">IFERROR(INDEX(tblunits[unitname],SMALL(IF((tblunits[nation]=$B$23)*(tblunits[division]=#REF!)*(tblunits[squadtype]=$D$7),ROW(tblunits[unitname])-MIN(ROW(tblunits[unitname]))+1),ROWS($A$83:A212))),"")</f>
        <v/>
      </c>
    </row>
    <row r="213" spans="1:1" x14ac:dyDescent="0.35">
      <c r="A213" s="2" t="str">
        <f t="array" ref="A213">IFERROR(INDEX(tblunits[unitname],SMALL(IF((tblunits[nation]=$B$23)*(tblunits[division]=#REF!)*(tblunits[squadtype]=$D$7),ROW(tblunits[unitname])-MIN(ROW(tblunits[unitname]))+1),ROWS($A$83:A213))),"")</f>
        <v/>
      </c>
    </row>
    <row r="214" spans="1:1" x14ac:dyDescent="0.35">
      <c r="A214" s="2" t="str">
        <f t="array" ref="A214">IFERROR(INDEX(tblunits[unitname],SMALL(IF((tblunits[nation]=$B$23)*(tblunits[division]=#REF!)*(tblunits[squadtype]=$D$7),ROW(tblunits[unitname])-MIN(ROW(tblunits[unitname]))+1),ROWS($A$83:A214))),"")</f>
        <v/>
      </c>
    </row>
    <row r="215" spans="1:1" x14ac:dyDescent="0.35">
      <c r="A215" s="2" t="str">
        <f t="array" ref="A215">IFERROR(INDEX(tblunits[unitname],SMALL(IF((tblunits[nation]=$B$23)*(tblunits[division]=#REF!)*(tblunits[squadtype]=$D$7),ROW(tblunits[unitname])-MIN(ROW(tblunits[unitname]))+1),ROWS($A$83:A215))),"")</f>
        <v/>
      </c>
    </row>
    <row r="216" spans="1:1" x14ac:dyDescent="0.35">
      <c r="A216" s="2" t="str">
        <f t="array" ref="A216">IFERROR(INDEX(tblunits[unitname],SMALL(IF((tblunits[nation]=$B$23)*(tblunits[division]=#REF!)*(tblunits[squadtype]=$D$7),ROW(tblunits[unitname])-MIN(ROW(tblunits[unitname]))+1),ROWS($A$83:A216))),"")</f>
        <v/>
      </c>
    </row>
    <row r="217" spans="1:1" x14ac:dyDescent="0.35">
      <c r="A217" s="2" t="str">
        <f t="array" ref="A217">IFERROR(INDEX(tblunits[unitname],SMALL(IF((tblunits[nation]=$B$23)*(tblunits[division]=#REF!)*(tblunits[squadtype]=$D$7),ROW(tblunits[unitname])-MIN(ROW(tblunits[unitname]))+1),ROWS($A$83:A217))),"")</f>
        <v/>
      </c>
    </row>
    <row r="218" spans="1:1" x14ac:dyDescent="0.35">
      <c r="A218" s="2" t="str">
        <f t="array" ref="A218">IFERROR(INDEX(tblunits[unitname],SMALL(IF((tblunits[nation]=$B$23)*(tblunits[division]=#REF!)*(tblunits[squadtype]=$D$7),ROW(tblunits[unitname])-MIN(ROW(tblunits[unitname]))+1),ROWS($A$83:A218))),"")</f>
        <v/>
      </c>
    </row>
    <row r="219" spans="1:1" x14ac:dyDescent="0.35">
      <c r="A219" s="2" t="str">
        <f t="array" ref="A219">IFERROR(INDEX(tblunits[unitname],SMALL(IF((tblunits[nation]=$B$23)*(tblunits[division]=#REF!)*(tblunits[squadtype]=$D$7),ROW(tblunits[unitname])-MIN(ROW(tblunits[unitname]))+1),ROWS($A$83:A219))),"")</f>
        <v/>
      </c>
    </row>
    <row r="220" spans="1:1" x14ac:dyDescent="0.35">
      <c r="A220" s="2" t="str">
        <f t="array" ref="A220">IFERROR(INDEX(tblunits[unitname],SMALL(IF((tblunits[nation]=$B$23)*(tblunits[division]=#REF!)*(tblunits[squadtype]=$D$7),ROW(tblunits[unitname])-MIN(ROW(tblunits[unitname]))+1),ROWS($A$83:A220))),"")</f>
        <v/>
      </c>
    </row>
    <row r="221" spans="1:1" x14ac:dyDescent="0.35">
      <c r="A221" s="2" t="str">
        <f t="array" ref="A221">IFERROR(INDEX(tblunits[unitname],SMALL(IF((tblunits[nation]=$B$23)*(tblunits[division]=#REF!)*(tblunits[squadtype]=$D$7),ROW(tblunits[unitname])-MIN(ROW(tblunits[unitname]))+1),ROWS($A$83:A221))),"")</f>
        <v/>
      </c>
    </row>
    <row r="222" spans="1:1" x14ac:dyDescent="0.35">
      <c r="A222" s="2" t="str">
        <f t="array" ref="A222">IFERROR(INDEX(tblunits[unitname],SMALL(IF((tblunits[nation]=$B$23)*(tblunits[division]=#REF!)*(tblunits[squadtype]=$D$7),ROW(tblunits[unitname])-MIN(ROW(tblunits[unitname]))+1),ROWS($A$83:A222))),"")</f>
        <v/>
      </c>
    </row>
  </sheetData>
  <mergeCells count="5">
    <mergeCell ref="A26:A28"/>
    <mergeCell ref="A29:A31"/>
    <mergeCell ref="A32:A34"/>
    <mergeCell ref="H21:H25"/>
    <mergeCell ref="A35:A37"/>
  </mergeCells>
  <conditionalFormatting sqref="J40">
    <cfRule type="expression" dxfId="204" priority="180">
      <formula>IF($J$40&lt;$A$16,FALSE,IF($J$40&lt;$A$16*$B$15,TRUE,FALSE))</formula>
    </cfRule>
    <cfRule type="cellIs" dxfId="203" priority="181" operator="greaterThan">
      <formula>$A$16*$B$15</formula>
    </cfRule>
    <cfRule type="cellIs" dxfId="202" priority="182" operator="lessThan">
      <formula>$A$16</formula>
    </cfRule>
  </conditionalFormatting>
  <conditionalFormatting sqref="E4">
    <cfRule type="expression" dxfId="201" priority="29">
      <formula>AND(D2="special_forces_3",D4="asset_team")</formula>
    </cfRule>
    <cfRule type="expression" dxfId="200" priority="30">
      <formula>AND(D2="special_forces_2",D4="asset_team")</formula>
    </cfRule>
    <cfRule type="expression" dxfId="199" priority="53">
      <formula>AND(D2="special_forces_1",D4="asset_team")</formula>
    </cfRule>
    <cfRule type="expression" dxfId="198" priority="57">
      <formula>IF(D2="asset_squad",TRUE,FALSE)</formula>
    </cfRule>
  </conditionalFormatting>
  <conditionalFormatting sqref="E3">
    <cfRule type="expression" dxfId="197" priority="55">
      <formula>IF(D2="special_forces",TRUE,FALSE)</formula>
    </cfRule>
  </conditionalFormatting>
  <conditionalFormatting sqref="E8">
    <cfRule type="expression" dxfId="196" priority="51">
      <formula>IF(D7="special_forces",TRUE,FALSE)</formula>
    </cfRule>
  </conditionalFormatting>
  <conditionalFormatting sqref="E13">
    <cfRule type="expression" dxfId="195" priority="50">
      <formula>IF(D12="special_forces",TRUE,FALSE)</formula>
    </cfRule>
  </conditionalFormatting>
  <conditionalFormatting sqref="E18">
    <cfRule type="expression" dxfId="194" priority="49">
      <formula>IF(D17="special_forces",TRUE,FALSE)</formula>
    </cfRule>
  </conditionalFormatting>
  <conditionalFormatting sqref="E23">
    <cfRule type="expression" dxfId="193" priority="48">
      <formula>IF(D22="special_forces",TRUE,FALSE)</formula>
    </cfRule>
  </conditionalFormatting>
  <conditionalFormatting sqref="E28">
    <cfRule type="expression" dxfId="192" priority="47">
      <formula>IF(D27="special_forces",TRUE,FALSE)</formula>
    </cfRule>
  </conditionalFormatting>
  <conditionalFormatting sqref="E33">
    <cfRule type="expression" dxfId="191" priority="46">
      <formula>IF(D32="special_forces",TRUE,FALSE)</formula>
    </cfRule>
  </conditionalFormatting>
  <conditionalFormatting sqref="E38">
    <cfRule type="expression" dxfId="190" priority="45">
      <formula>IF(D37="special_forces",TRUE,FALSE)</formula>
    </cfRule>
  </conditionalFormatting>
  <conditionalFormatting sqref="E9">
    <cfRule type="expression" dxfId="189" priority="25">
      <formula>AND(D7="special_forces_3",D9="asset_team")</formula>
    </cfRule>
    <cfRule type="expression" dxfId="188" priority="26">
      <formula>AND(D7="special_forces_2",D9="asset_team")</formula>
    </cfRule>
    <cfRule type="expression" dxfId="187" priority="27">
      <formula>AND(D7="special_forces_1",D9="asset_team")</formula>
    </cfRule>
    <cfRule type="expression" dxfId="186" priority="28">
      <formula>IF(D7="asset_squad",TRUE,FALSE)</formula>
    </cfRule>
  </conditionalFormatting>
  <conditionalFormatting sqref="E14">
    <cfRule type="expression" dxfId="185" priority="21">
      <formula>AND(D12="special_forces_3",D14="asset_team")</formula>
    </cfRule>
    <cfRule type="expression" dxfId="184" priority="22">
      <formula>AND(D12="special_forces_2",D14="asset_team")</formula>
    </cfRule>
    <cfRule type="expression" dxfId="183" priority="23">
      <formula>AND(D12="special_forces_1",D14="asset_team")</formula>
    </cfRule>
    <cfRule type="expression" dxfId="182" priority="24">
      <formula>IF(D12="asset_squad",TRUE,FALSE)</formula>
    </cfRule>
  </conditionalFormatting>
  <conditionalFormatting sqref="E19">
    <cfRule type="expression" dxfId="181" priority="17">
      <formula>AND(D17="special_forces_3",D19="asset_team")</formula>
    </cfRule>
    <cfRule type="expression" dxfId="180" priority="18">
      <formula>AND(D17="special_forces_2",D19="asset_team")</formula>
    </cfRule>
    <cfRule type="expression" dxfId="179" priority="19">
      <formula>AND(D17="special_forces_1",D19="asset_team")</formula>
    </cfRule>
    <cfRule type="expression" dxfId="178" priority="20">
      <formula>IF(D17="asset_squad",TRUE,FALSE)</formula>
    </cfRule>
  </conditionalFormatting>
  <conditionalFormatting sqref="E24">
    <cfRule type="expression" dxfId="177" priority="13">
      <formula>AND(D22="special_forces_3",D24="asset_team")</formula>
    </cfRule>
    <cfRule type="expression" dxfId="176" priority="14">
      <formula>AND(D22="special_forces_2",D24="asset_team")</formula>
    </cfRule>
    <cfRule type="expression" dxfId="175" priority="15">
      <formula>AND(D22="special_forces_1",D24="asset_team")</formula>
    </cfRule>
    <cfRule type="expression" dxfId="174" priority="16">
      <formula>IF(D22="asset_squad",TRUE,FALSE)</formula>
    </cfRule>
  </conditionalFormatting>
  <conditionalFormatting sqref="E29">
    <cfRule type="expression" dxfId="173" priority="9">
      <formula>AND(D27="special_forces_3",D29="asset_team")</formula>
    </cfRule>
    <cfRule type="expression" dxfId="172" priority="10">
      <formula>AND(D27="special_forces_2",D29="asset_team")</formula>
    </cfRule>
    <cfRule type="expression" dxfId="171" priority="11">
      <formula>AND(D27="special_forces_1",D29="asset_team")</formula>
    </cfRule>
    <cfRule type="expression" dxfId="170" priority="12">
      <formula>IF(D27="asset_squad",TRUE,FALSE)</formula>
    </cfRule>
  </conditionalFormatting>
  <conditionalFormatting sqref="E34">
    <cfRule type="expression" dxfId="169" priority="5">
      <formula>AND(D32="special_forces_3",D34="asset_team")</formula>
    </cfRule>
    <cfRule type="expression" dxfId="168" priority="6">
      <formula>AND(D32="special_forces_2",D34="asset_team")</formula>
    </cfRule>
    <cfRule type="expression" dxfId="167" priority="7">
      <formula>AND(D32="special_forces_1",D34="asset_team")</formula>
    </cfRule>
    <cfRule type="expression" dxfId="166" priority="8">
      <formula>IF(D32="asset_squad",TRUE,FALSE)</formula>
    </cfRule>
  </conditionalFormatting>
  <conditionalFormatting sqref="E39">
    <cfRule type="expression" dxfId="165" priority="1">
      <formula>AND(D37="special_forces_3",D39="asset_team")</formula>
    </cfRule>
    <cfRule type="expression" dxfId="164" priority="2">
      <formula>AND(D37="special_forces_2",D39="asset_team")</formula>
    </cfRule>
    <cfRule type="expression" dxfId="163" priority="3">
      <formula>AND(D37="special_forces_1",D39="asset_team")</formula>
    </cfRule>
    <cfRule type="expression" dxfId="162" priority="4">
      <formula>IF(D37="asset_squad",TRUE,FALSE)</formula>
    </cfRule>
  </conditionalFormatting>
  <dataValidations count="1">
    <dataValidation type="list" allowBlank="1" showInputMessage="1" showErrorMessage="1" sqref="D27 D32 D2 D7 D12 D17 D22 D37">
      <formula1>"standard_squad,Asset_Squad,feildgun_squad,special_forces_1,special_forces_2,special_forces_3"</formula1>
    </dataValidation>
  </dataValidations>
  <pageMargins left="3.937007874015748E-2" right="0" top="3.937007874015748E-2" bottom="0" header="0" footer="0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clearsquad3">
                <anchor moveWithCells="1" sizeWithCells="1">
                  <from>
                    <xdr:col>2</xdr:col>
                    <xdr:colOff>635000</xdr:colOff>
                    <xdr:row>19</xdr:row>
                    <xdr:rowOff>158750</xdr:rowOff>
                  </from>
                  <to>
                    <xdr:col>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clearvehicles">
                <anchor moveWithCells="1" sizeWithCells="1">
                  <from>
                    <xdr:col>8</xdr:col>
                    <xdr:colOff>0</xdr:colOff>
                    <xdr:row>18</xdr:row>
                    <xdr:rowOff>165100</xdr:rowOff>
                  </from>
                  <to>
                    <xdr:col>9</xdr:col>
                    <xdr:colOff>0</xdr:colOff>
                    <xdr:row>19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" name="Button 57">
              <controlPr defaultSize="0" print="0" autoFill="0" autoPict="0" macro="[0]!ClearAllSquadsAndVehicles">
                <anchor moveWithCells="1" sizeWithCells="1">
                  <from>
                    <xdr:col>0</xdr:col>
                    <xdr:colOff>12700</xdr:colOff>
                    <xdr:row>22</xdr:row>
                    <xdr:rowOff>12700</xdr:rowOff>
                  </from>
                  <to>
                    <xdr:col>0</xdr:col>
                    <xdr:colOff>1873250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" name="Button 83">
              <controlPr defaultSize="0" print="0" autoFill="0" autoPict="0" macro="[0]!validatearmyandsendtosetup">
                <anchor moveWithCells="1" sizeWithCells="1">
                  <from>
                    <xdr:col>0</xdr:col>
                    <xdr:colOff>0</xdr:colOff>
                    <xdr:row>18</xdr:row>
                    <xdr:rowOff>177800</xdr:rowOff>
                  </from>
                  <to>
                    <xdr:col>0</xdr:col>
                    <xdr:colOff>1873250</xdr:colOff>
                    <xdr:row>21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" name="Button 87">
              <controlPr defaultSize="0" print="0" autoFill="0" autoPict="0" macro="[0]!cleardefences">
                <anchor moveWithCells="1" siz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" name="Button 125">
              <controlPr defaultSize="0" print="0" autoFill="0" autoPict="0" macro="[0]!clearsquadBGC">
                <anchor moveWithCells="1" sizeWithCells="1">
                  <from>
                    <xdr:col>2</xdr:col>
                    <xdr:colOff>596900</xdr:colOff>
                    <xdr:row>4</xdr:row>
                    <xdr:rowOff>165100</xdr:rowOff>
                  </from>
                  <to>
                    <xdr:col>3</xdr:col>
                    <xdr:colOff>577850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0" name="Button 130">
              <controlPr defaultSize="0" print="0" autoFill="0" autoPict="0" macro="[0]!clearsquad7">
                <anchor moveWithCells="1" sizeWithCells="1">
                  <from>
                    <xdr:col>2</xdr:col>
                    <xdr:colOff>603250</xdr:colOff>
                    <xdr:row>39</xdr:row>
                    <xdr:rowOff>177800</xdr:rowOff>
                  </from>
                  <to>
                    <xdr:col>3</xdr:col>
                    <xdr:colOff>584200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1" name="Button 159">
              <controlPr defaultSize="0" print="0" autoFill="0" autoPict="0" macro="[0]!clearsquad1">
                <anchor moveWithCells="1" sizeWithCells="1">
                  <from>
                    <xdr:col>2</xdr:col>
                    <xdr:colOff>565150</xdr:colOff>
                    <xdr:row>9</xdr:row>
                    <xdr:rowOff>177800</xdr:rowOff>
                  </from>
                  <to>
                    <xdr:col>3</xdr:col>
                    <xdr:colOff>558800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2" name="Button 180">
              <controlPr defaultSize="0" print="0" autoFill="0" autoPict="0" macro="[0]!clearsquad2">
                <anchor moveWithCells="1" sizeWithCells="1">
                  <from>
                    <xdr:col>2</xdr:col>
                    <xdr:colOff>628650</xdr:colOff>
                    <xdr:row>14</xdr:row>
                    <xdr:rowOff>177800</xdr:rowOff>
                  </from>
                  <to>
                    <xdr:col>3</xdr:col>
                    <xdr:colOff>590550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3" name="Button 181">
              <controlPr defaultSize="0" print="0" autoFill="0" autoPict="0" macro="[0]!clearsquad4">
                <anchor moveWithCells="1" sizeWithCells="1">
                  <from>
                    <xdr:col>2</xdr:col>
                    <xdr:colOff>603250</xdr:colOff>
                    <xdr:row>24</xdr:row>
                    <xdr:rowOff>190500</xdr:rowOff>
                  </from>
                  <to>
                    <xdr:col>3</xdr:col>
                    <xdr:colOff>577850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" name="Button 182">
              <controlPr defaultSize="0" print="0" autoFill="0" autoPict="0" macro="[0]!clearsquad5">
                <anchor moveWithCells="1" sizeWithCells="1">
                  <from>
                    <xdr:col>2</xdr:col>
                    <xdr:colOff>590550</xdr:colOff>
                    <xdr:row>30</xdr:row>
                    <xdr:rowOff>0</xdr:rowOff>
                  </from>
                  <to>
                    <xdr:col>3</xdr:col>
                    <xdr:colOff>558800</xdr:colOff>
                    <xdr:row>30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5" name="Button 183">
              <controlPr defaultSize="0" print="0" autoFill="0" autoPict="0" macro="[0]!clearsquad6">
                <anchor moveWithCells="1" sizeWithCells="1">
                  <from>
                    <xdr:col>2</xdr:col>
                    <xdr:colOff>615950</xdr:colOff>
                    <xdr:row>35</xdr:row>
                    <xdr:rowOff>0</xdr:rowOff>
                  </from>
                  <to>
                    <xdr:col>3</xdr:col>
                    <xdr:colOff>590550</xdr:colOff>
                    <xdr:row>35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'divs nats data base'!$I$2:$I$3</xm:f>
          </x14:formula1>
          <xm:sqref>D14</xm:sqref>
        </x14:dataValidation>
        <x14:dataValidation type="list" allowBlank="1" showInputMessage="1" showErrorMessage="1">
          <x14:formula1>
            <xm:f>'divs nats data base'!$I$2:$I$3</xm:f>
          </x14:formula1>
          <xm:sqref>D19</xm:sqref>
        </x14:dataValidation>
        <x14:dataValidation type="list" allowBlank="1" showInputMessage="1" showErrorMessage="1">
          <x14:formula1>
            <xm:f>'divs nats data base'!$I$2:$I$3</xm:f>
          </x14:formula1>
          <xm:sqref>D24</xm:sqref>
        </x14:dataValidation>
        <x14:dataValidation type="list" allowBlank="1" showInputMessage="1" showErrorMessage="1">
          <x14:formula1>
            <xm:f>'divs nats data base'!$I$2:$I$3</xm:f>
          </x14:formula1>
          <xm:sqref>D29</xm:sqref>
        </x14:dataValidation>
        <x14:dataValidation type="list" allowBlank="1" showInputMessage="1" showErrorMessage="1">
          <x14:formula1>
            <xm:f>'divs nats data base'!$I$2:$I$3</xm:f>
          </x14:formula1>
          <xm:sqref>D34</xm:sqref>
        </x14:dataValidation>
        <x14:dataValidation type="list" allowBlank="1" showInputMessage="1" showErrorMessage="1">
          <x14:formula1>
            <xm:f>'divs nats data base'!$I$2:$I$3</xm:f>
          </x14:formula1>
          <xm:sqref>D39</xm:sqref>
        </x14:dataValidation>
        <x14:dataValidation type="list" allowBlank="1" showInputMessage="1" showErrorMessage="1">
          <x14:formula1>
            <xm:f>'divs nats data base'!$I$2:$I$3</xm:f>
          </x14:formula1>
          <xm:sqref>D9</xm:sqref>
        </x14:dataValidation>
        <x14:dataValidation type="list" allowBlank="1" showInputMessage="1" showErrorMessage="1">
          <x14:formula1>
            <xm:f>INDIRECT(SUBSTITUTE(setup!$B$5 &amp; setup!$B$7 &amp; D2," ",""))</xm:f>
          </x14:formula1>
          <xm:sqref>E43 E7 E12 E17 E22 E27 E32 E37 E2 E24 E4 E9 E29 E34 E14 E19 E39</xm:sqref>
        </x14:dataValidation>
        <x14:dataValidation type="list" allowBlank="1" showInputMessage="1" showErrorMessage="1">
          <x14:formula1>
            <xm:f>'SF1'!$F$6:$F$7</xm:f>
          </x14:formula1>
          <xm:sqref>E42</xm:sqref>
        </x14:dataValidation>
        <x14:dataValidation type="list" allowBlank="1" showInputMessage="1" showErrorMessage="1">
          <x14:formula1>
            <xm:f>'unit calc'!$A$124:$A$125</xm:f>
          </x14:formula1>
          <xm:sqref>E3 E33 E8 E13 E18 E23 E28 E38</xm:sqref>
        </x14:dataValidation>
        <x14:dataValidation type="list" allowBlank="1" showInputMessage="1" showErrorMessage="1">
          <x14:formula1>
            <xm:f>'unit calc'!$L$39:$L$41</xm:f>
          </x14:formula1>
          <xm:sqref>A13</xm:sqref>
        </x14:dataValidation>
        <x14:dataValidation type="list" allowBlank="1" showInputMessage="1" showErrorMessage="1">
          <x14:formula1>
            <xm:f>INDIRECT(SUBSTITUTE(setup!$B$5 &amp; setup!$B$7 &amp; $I$1," ",""))</xm:f>
          </x14:formula1>
          <xm:sqref>I3:I16</xm:sqref>
        </x14:dataValidation>
        <x14:dataValidation type="list" allowBlank="1" showInputMessage="1" showErrorMessage="1">
          <x14:formula1>
            <xm:f>INDIRECT(SUBSTITUTE(setup!$B$5 &amp; setup!$B$7 &amp; I1," ",""))</xm:f>
          </x14:formula1>
          <xm:sqref>I2</xm:sqref>
        </x14:dataValidation>
        <x14:dataValidation type="list" allowBlank="1" showInputMessage="1" showErrorMessage="1">
          <x14:formula1>
            <xm:f>'divs nats data base'!$I$2:$I$3</xm:f>
          </x14:formula1>
          <xm:sqref>D4</xm:sqref>
        </x14:dataValidation>
        <x14:dataValidation type="list" allowBlank="1" showInputMessage="1" showErrorMessage="1">
          <x14:formula1>
            <xm:f>INDIRECT(SUBSTITUTE(setup!$B$5 &amp; setup!$B$7 &amp; C5," ",""))</xm:f>
          </x14:formula1>
          <xm:sqref>E5 E20 E15 E25 E30 E35 E40 E10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H51"/>
  <sheetViews>
    <sheetView zoomScale="90" zoomScaleNormal="90" workbookViewId="0">
      <selection activeCell="B10" sqref="B10"/>
    </sheetView>
  </sheetViews>
  <sheetFormatPr defaultRowHeight="14.5" x14ac:dyDescent="0.35"/>
  <cols>
    <col min="1" max="1" width="17.54296875" customWidth="1"/>
    <col min="2" max="2" width="16.08984375" customWidth="1"/>
    <col min="3" max="3" width="14.453125" bestFit="1" customWidth="1"/>
    <col min="4" max="4" width="10.26953125" customWidth="1"/>
    <col min="5" max="5" width="19.08984375" bestFit="1" customWidth="1"/>
    <col min="6" max="8" width="10.26953125" customWidth="1"/>
  </cols>
  <sheetData>
    <row r="1" spans="1:8" ht="15" thickBot="1" x14ac:dyDescent="0.4">
      <c r="B1" t="s">
        <v>70</v>
      </c>
      <c r="E1" t="s">
        <v>71</v>
      </c>
    </row>
    <row r="2" spans="1:8" ht="15" thickBot="1" x14ac:dyDescent="0.4">
      <c r="A2" t="s">
        <v>567</v>
      </c>
      <c r="B2" s="136" t="s">
        <v>75</v>
      </c>
      <c r="C2">
        <f>VLOOKUP(B2,Table17[#All],2,FALSE)</f>
        <v>5</v>
      </c>
      <c r="D2" t="s">
        <v>0</v>
      </c>
      <c r="E2" s="136">
        <f>VLOOKUP(B2,Table17[#All],3,FALSE)</f>
        <v>300</v>
      </c>
    </row>
    <row r="3" spans="1:8" ht="15" thickBot="1" x14ac:dyDescent="0.4">
      <c r="A3" t="s">
        <v>568</v>
      </c>
      <c r="B3" s="136"/>
      <c r="D3">
        <f>B3*10</f>
        <v>0</v>
      </c>
    </row>
    <row r="4" spans="1:8" ht="15" thickBot="1" x14ac:dyDescent="0.4">
      <c r="A4" t="s">
        <v>569</v>
      </c>
      <c r="B4" t="s">
        <v>683</v>
      </c>
      <c r="C4" t="s">
        <v>14</v>
      </c>
      <c r="D4">
        <f>VLOOKUP($C4,individualunitbasecost[#All],$C$2,FALSE)</f>
        <v>72</v>
      </c>
    </row>
    <row r="5" spans="1:8" ht="15" thickBot="1" x14ac:dyDescent="0.4">
      <c r="A5" t="s">
        <v>570</v>
      </c>
      <c r="B5" s="137"/>
      <c r="C5" t="str">
        <f>IF(B5="","",VLOOKUP(B5,specialforces[#All],2,FALSE))</f>
        <v/>
      </c>
      <c r="D5">
        <f ca="1">VLOOKUP($B5,specialforces[#All],$C$2+1,FALSE)</f>
        <v>0</v>
      </c>
      <c r="F5" t="s">
        <v>15</v>
      </c>
      <c r="G5" t="s">
        <v>16</v>
      </c>
      <c r="H5" t="s">
        <v>20</v>
      </c>
    </row>
    <row r="6" spans="1:8" ht="15" thickBot="1" x14ac:dyDescent="0.4">
      <c r="A6" s="138"/>
      <c r="B6" s="137"/>
      <c r="C6" t="str">
        <f>IF(B6="","",VLOOKUP(B6,specialforces[#All],2,FALSE))</f>
        <v/>
      </c>
      <c r="D6">
        <f ca="1">VLOOKUP($B6,specialforces[#All],$C$2+1,FALSE)</f>
        <v>0</v>
      </c>
      <c r="F6" t="str">
        <f>B2&amp;", "&amp;E10&amp;""</f>
        <v xml:space="preserve">experienced, </v>
      </c>
      <c r="G6">
        <f ca="1">D25</f>
        <v>72</v>
      </c>
      <c r="H6" t="str">
        <f>B4&amp;", "&amp;C5&amp;", "&amp;C6&amp;", "&amp;C7&amp;", "&amp;C8&amp;", "&amp;C9&amp;", "&amp;C10&amp;", "&amp;C11&amp;", "&amp;C12&amp;", "&amp;C13&amp;", "&amp;C14&amp;", "&amp;C15&amp;", "&amp;C16&amp;", "&amp;C17&amp;", "&amp;C19&amp;", "&amp;C20&amp;", "&amp;C21&amp;", "&amp;C22&amp;", "&amp;C23&amp;","&amp;C24&amp;""</f>
        <v>Squad Leader, , , , , , , , , , , , , , , , , , ,</v>
      </c>
    </row>
    <row r="7" spans="1:8" ht="15" thickBot="1" x14ac:dyDescent="0.4">
      <c r="A7" s="138"/>
      <c r="B7" s="137"/>
      <c r="C7" t="str">
        <f>IF(B7="","",VLOOKUP(B7,specialforces[#All],2,FALSE))</f>
        <v/>
      </c>
      <c r="D7">
        <f ca="1">VLOOKUP($B7,specialforces[#All],$C$2+1,FALSE)</f>
        <v>0</v>
      </c>
      <c r="F7">
        <v>0</v>
      </c>
      <c r="G7">
        <v>0</v>
      </c>
      <c r="H7">
        <v>0</v>
      </c>
    </row>
    <row r="8" spans="1:8" ht="15" thickBot="1" x14ac:dyDescent="0.4">
      <c r="A8" s="138"/>
      <c r="B8" s="137"/>
      <c r="C8" t="str">
        <f>IF(B8="","",VLOOKUP(B8,specialforces[#All],2,FALSE))</f>
        <v/>
      </c>
      <c r="D8">
        <f ca="1">VLOOKUP($B8,specialforces[#All],$C$2+1,FALSE)</f>
        <v>0</v>
      </c>
    </row>
    <row r="9" spans="1:8" ht="15" thickBot="1" x14ac:dyDescent="0.4">
      <c r="A9" s="138"/>
      <c r="B9" s="137"/>
      <c r="C9" t="str">
        <f>IF(B9="","",VLOOKUP(B9,specialforces[#All],2,FALSE))</f>
        <v/>
      </c>
      <c r="D9">
        <f ca="1">VLOOKUP($B9,specialforces[#All],$C$2+1,FALSE)</f>
        <v>0</v>
      </c>
      <c r="E9" t="s">
        <v>113</v>
      </c>
    </row>
    <row r="10" spans="1:8" ht="15" thickBot="1" x14ac:dyDescent="0.4">
      <c r="B10" s="137"/>
      <c r="C10" t="str">
        <f>IF(B10="","",VLOOKUP(B10,specialforces[#All],2,FALSE))</f>
        <v/>
      </c>
      <c r="D10">
        <f ca="1">VLOOKUP($B10,specialforces[#All],$C$2+1,FALSE)</f>
        <v>0</v>
      </c>
      <c r="E10" s="136"/>
    </row>
    <row r="11" spans="1:8" ht="15" thickBot="1" x14ac:dyDescent="0.4">
      <c r="B11" s="137"/>
      <c r="C11" t="str">
        <f>IF(B11="","",VLOOKUP(B11,specialforces[#All],2,FALSE))</f>
        <v/>
      </c>
      <c r="D11">
        <f ca="1">VLOOKUP($B11,specialforces[#All],$C$2+1,FALSE)</f>
        <v>0</v>
      </c>
    </row>
    <row r="12" spans="1:8" ht="15" thickBot="1" x14ac:dyDescent="0.4">
      <c r="B12" s="137"/>
      <c r="C12" t="str">
        <f>IF(B12="","",VLOOKUP(B12,specialforces[#All],2,FALSE))</f>
        <v/>
      </c>
      <c r="D12">
        <f ca="1">VLOOKUP($B12,specialforces[#All],$C$2+1,FALSE)</f>
        <v>0</v>
      </c>
      <c r="E12" s="81" t="s">
        <v>250</v>
      </c>
      <c r="F12" s="59"/>
    </row>
    <row r="13" spans="1:8" ht="15" thickBot="1" x14ac:dyDescent="0.4">
      <c r="B13" s="137"/>
      <c r="C13" t="str">
        <f>IF(B13="","",VLOOKUP(B13,specialforces[#All],2,FALSE))</f>
        <v/>
      </c>
      <c r="D13">
        <f ca="1">VLOOKUP($B13,specialforces[#All],$C$2+1,FALSE)</f>
        <v>0</v>
      </c>
      <c r="E13" s="15" t="s">
        <v>114</v>
      </c>
      <c r="F13" s="290" t="s">
        <v>546</v>
      </c>
    </row>
    <row r="14" spans="1:8" ht="15" thickBot="1" x14ac:dyDescent="0.4">
      <c r="B14" s="137"/>
      <c r="C14" t="str">
        <f>IF(B14="","",VLOOKUP(B14,specialforces[#All],2,FALSE))</f>
        <v/>
      </c>
      <c r="D14">
        <f ca="1">VLOOKUP($B14,specialforces[#All],$C$2+1,FALSE)</f>
        <v>0</v>
      </c>
      <c r="E14" s="15" t="s">
        <v>115</v>
      </c>
      <c r="F14" s="290" t="s">
        <v>247</v>
      </c>
    </row>
    <row r="15" spans="1:8" ht="15" thickBot="1" x14ac:dyDescent="0.4">
      <c r="B15" s="137"/>
      <c r="C15" t="str">
        <f>IF(B15="","",VLOOKUP(B15,specialforces[#All],2,FALSE))</f>
        <v/>
      </c>
      <c r="D15">
        <f ca="1">VLOOKUP($B15,specialforces[#All],$C$2+1,FALSE)</f>
        <v>0</v>
      </c>
      <c r="E15" s="15" t="s">
        <v>116</v>
      </c>
      <c r="F15" s="290" t="s">
        <v>251</v>
      </c>
    </row>
    <row r="16" spans="1:8" ht="15" thickBot="1" x14ac:dyDescent="0.4">
      <c r="B16" s="137"/>
      <c r="C16" t="str">
        <f>IF(B16="","",VLOOKUP(B16,specialforces[#All],2,FALSE))</f>
        <v/>
      </c>
      <c r="D16">
        <f ca="1">VLOOKUP($B16,specialforces[#All],$C$2+1,FALSE)</f>
        <v>0</v>
      </c>
      <c r="E16" s="15" t="s">
        <v>252</v>
      </c>
      <c r="F16" s="290" t="s">
        <v>267</v>
      </c>
    </row>
    <row r="17" spans="1:6" ht="15" thickBot="1" x14ac:dyDescent="0.4">
      <c r="B17" s="136"/>
      <c r="C17" t="str">
        <f>IF(B17="","",VLOOKUP(B17,specialforces[#All],2,FALSE))</f>
        <v/>
      </c>
      <c r="D17">
        <f ca="1">VLOOKUP($B17,specialforces[#All],$C$2+1,FALSE)</f>
        <v>0</v>
      </c>
      <c r="E17" s="15" t="s">
        <v>253</v>
      </c>
      <c r="F17" s="290" t="s">
        <v>248</v>
      </c>
    </row>
    <row r="18" spans="1:6" ht="15" thickBot="1" x14ac:dyDescent="0.4">
      <c r="B18" s="59"/>
      <c r="E18" s="15" t="s">
        <v>254</v>
      </c>
      <c r="F18" s="290" t="s">
        <v>249</v>
      </c>
    </row>
    <row r="19" spans="1:6" ht="15" thickBot="1" x14ac:dyDescent="0.4">
      <c r="A19" t="s">
        <v>571</v>
      </c>
      <c r="B19" s="137"/>
      <c r="C19" t="str">
        <f>IF(B19="","",VLOOKUP(B19,specialforcesassetteams[#All],2,FALSE))</f>
        <v/>
      </c>
      <c r="D19">
        <f ca="1">VLOOKUP($B19,specialforcesassetteams[#All],$C$2+1,FALSE)</f>
        <v>0</v>
      </c>
    </row>
    <row r="20" spans="1:6" ht="15" thickBot="1" x14ac:dyDescent="0.4">
      <c r="B20" s="137"/>
      <c r="C20" t="str">
        <f>IF(B20="","",VLOOKUP(B20,specialforcesassetteams[#All],2,FALSE))</f>
        <v/>
      </c>
      <c r="D20">
        <f ca="1">VLOOKUP($B20,specialforcesassetteams[#All],$C$2+1,FALSE)</f>
        <v>0</v>
      </c>
    </row>
    <row r="21" spans="1:6" ht="15" thickBot="1" x14ac:dyDescent="0.4">
      <c r="B21" s="137"/>
      <c r="C21" t="str">
        <f>IF(B21="","",VLOOKUP(B21,specialforcesassetteams[#All],2,FALSE))</f>
        <v/>
      </c>
      <c r="D21">
        <f ca="1">VLOOKUP($B21,specialforcesassetteams[#All],$C$2+1,FALSE)</f>
        <v>0</v>
      </c>
    </row>
    <row r="22" spans="1:6" ht="15" thickBot="1" x14ac:dyDescent="0.4">
      <c r="B22" s="137"/>
      <c r="C22" t="str">
        <f>IF(B22="","",VLOOKUP(B22,specialforcesassetteams[#All],2,FALSE))</f>
        <v/>
      </c>
      <c r="D22">
        <f ca="1">VLOOKUP($B22,specialforcesassetteams[#All],$C$2+1,FALSE)</f>
        <v>0</v>
      </c>
    </row>
    <row r="23" spans="1:6" ht="15" thickBot="1" x14ac:dyDescent="0.4">
      <c r="B23" s="136"/>
      <c r="C23" t="str">
        <f>IF(B23="","",VLOOKUP(B23,specialforcesassetteams[#All],2,FALSE))</f>
        <v/>
      </c>
      <c r="D23">
        <f ca="1">VLOOKUP($B23,specialforcesassetteams[#All],$C$2+1,FALSE)</f>
        <v>0</v>
      </c>
    </row>
    <row r="24" spans="1:6" ht="15" thickBot="1" x14ac:dyDescent="0.4">
      <c r="B24" s="136"/>
      <c r="C24" t="str">
        <f>IF(B24="","",VLOOKUP(B24,specialforcesassetteams[#All],2,FALSE))</f>
        <v/>
      </c>
      <c r="D24">
        <f ca="1">VLOOKUP($B24,specialforcesassetteams[#All],$C$2+1,FALSE)</f>
        <v>0</v>
      </c>
    </row>
    <row r="25" spans="1:6" x14ac:dyDescent="0.35">
      <c r="A25" t="s">
        <v>10</v>
      </c>
      <c r="B25" s="13"/>
      <c r="D25">
        <f ca="1">SUM(D3:D24)</f>
        <v>72</v>
      </c>
    </row>
    <row r="26" spans="1:6" x14ac:dyDescent="0.35">
      <c r="B26" s="13"/>
    </row>
    <row r="27" spans="1:6" x14ac:dyDescent="0.35">
      <c r="A27" t="s">
        <v>15</v>
      </c>
      <c r="B27" t="s">
        <v>16</v>
      </c>
      <c r="C27" t="s">
        <v>20</v>
      </c>
    </row>
    <row r="28" spans="1:6" x14ac:dyDescent="0.35">
      <c r="A28" t="s">
        <v>30</v>
      </c>
      <c r="B28">
        <v>3</v>
      </c>
      <c r="C28">
        <v>200</v>
      </c>
    </row>
    <row r="29" spans="1:6" x14ac:dyDescent="0.35">
      <c r="A29" t="s">
        <v>31</v>
      </c>
      <c r="B29">
        <v>4</v>
      </c>
      <c r="C29">
        <v>250</v>
      </c>
    </row>
    <row r="30" spans="1:6" x14ac:dyDescent="0.35">
      <c r="A30" t="s">
        <v>75</v>
      </c>
      <c r="B30">
        <v>5</v>
      </c>
      <c r="C30">
        <v>300</v>
      </c>
    </row>
    <row r="31" spans="1:6" x14ac:dyDescent="0.35">
      <c r="A31" t="s">
        <v>33</v>
      </c>
      <c r="B31">
        <v>6</v>
      </c>
      <c r="C31">
        <v>350</v>
      </c>
    </row>
    <row r="33" spans="1:6" x14ac:dyDescent="0.35">
      <c r="C33" s="56"/>
      <c r="D33" s="56"/>
      <c r="E33" s="56"/>
      <c r="F33" s="56"/>
    </row>
    <row r="34" spans="1:6" x14ac:dyDescent="0.35">
      <c r="C34" s="56"/>
      <c r="D34" s="56"/>
      <c r="E34" s="56"/>
      <c r="F34" s="56"/>
    </row>
    <row r="35" spans="1:6" x14ac:dyDescent="0.35">
      <c r="C35" s="56"/>
      <c r="D35" s="56"/>
      <c r="E35" s="56"/>
      <c r="F35" s="56"/>
    </row>
    <row r="36" spans="1:6" x14ac:dyDescent="0.35">
      <c r="C36" s="56"/>
      <c r="D36" s="56"/>
      <c r="E36" s="56"/>
      <c r="F36" s="56"/>
    </row>
    <row r="37" spans="1:6" x14ac:dyDescent="0.35">
      <c r="C37" s="56"/>
      <c r="D37" s="56"/>
      <c r="E37" s="56"/>
      <c r="F37" s="56"/>
    </row>
    <row r="38" spans="1:6" x14ac:dyDescent="0.35">
      <c r="C38" s="56"/>
      <c r="D38" s="56"/>
      <c r="E38" s="56"/>
      <c r="F38" s="56"/>
    </row>
    <row r="39" spans="1:6" x14ac:dyDescent="0.35">
      <c r="C39" s="56"/>
      <c r="D39" s="56"/>
      <c r="E39" s="56"/>
      <c r="F39" s="56"/>
    </row>
    <row r="40" spans="1:6" x14ac:dyDescent="0.35">
      <c r="A40" s="15">
        <v>0</v>
      </c>
      <c r="B40" s="59"/>
      <c r="C40" s="59"/>
      <c r="D40" s="59"/>
      <c r="E40" s="59"/>
      <c r="F40" s="59"/>
    </row>
    <row r="41" spans="1:6" x14ac:dyDescent="0.35">
      <c r="A41">
        <v>1</v>
      </c>
      <c r="B41" s="50"/>
      <c r="C41" s="56"/>
      <c r="D41" s="56"/>
      <c r="E41" s="56"/>
      <c r="F41" s="56"/>
    </row>
    <row r="42" spans="1:6" x14ac:dyDescent="0.35">
      <c r="A42">
        <v>2</v>
      </c>
      <c r="B42" s="50"/>
      <c r="C42" s="56"/>
      <c r="D42" s="56"/>
      <c r="E42" s="56"/>
      <c r="F42" s="56"/>
    </row>
    <row r="43" spans="1:6" x14ac:dyDescent="0.35">
      <c r="A43">
        <v>3</v>
      </c>
      <c r="B43" s="50"/>
      <c r="C43" s="56"/>
      <c r="D43" s="56"/>
      <c r="E43" s="56"/>
      <c r="F43" s="56"/>
    </row>
    <row r="44" spans="1:6" x14ac:dyDescent="0.35">
      <c r="A44">
        <v>4</v>
      </c>
      <c r="B44" s="50"/>
      <c r="C44" s="50"/>
      <c r="D44" s="50"/>
      <c r="E44" s="50"/>
      <c r="F44" s="50"/>
    </row>
    <row r="45" spans="1:6" x14ac:dyDescent="0.35">
      <c r="A45">
        <v>5</v>
      </c>
      <c r="B45" s="50"/>
      <c r="C45" s="50"/>
      <c r="D45" s="50"/>
      <c r="E45" s="50"/>
      <c r="F45" s="50"/>
    </row>
    <row r="46" spans="1:6" x14ac:dyDescent="0.35">
      <c r="A46">
        <v>6</v>
      </c>
      <c r="B46" s="50"/>
      <c r="C46" s="50"/>
      <c r="D46" s="50"/>
      <c r="E46" s="50"/>
      <c r="F46" s="50"/>
    </row>
    <row r="47" spans="1:6" x14ac:dyDescent="0.35">
      <c r="A47">
        <v>7</v>
      </c>
      <c r="B47" s="50"/>
      <c r="C47" s="50"/>
      <c r="D47" s="50"/>
      <c r="E47" s="50"/>
      <c r="F47" s="50"/>
    </row>
    <row r="48" spans="1:6" x14ac:dyDescent="0.35">
      <c r="A48">
        <v>8</v>
      </c>
      <c r="B48" s="50"/>
      <c r="C48" s="50"/>
      <c r="D48" s="50"/>
      <c r="E48" s="50"/>
      <c r="F48" s="50"/>
    </row>
    <row r="49" spans="2:6" x14ac:dyDescent="0.35">
      <c r="B49" s="15"/>
      <c r="C49" s="15"/>
      <c r="D49" s="15"/>
      <c r="E49" s="15"/>
      <c r="F49" s="15"/>
    </row>
    <row r="50" spans="2:6" x14ac:dyDescent="0.35">
      <c r="B50" s="15"/>
      <c r="C50" s="15"/>
      <c r="D50" s="15"/>
      <c r="E50" s="15"/>
      <c r="F50" s="15"/>
    </row>
    <row r="51" spans="2:6" x14ac:dyDescent="0.35">
      <c r="B51" s="15"/>
      <c r="C51" s="15"/>
      <c r="D51" s="15"/>
      <c r="E51" s="15"/>
      <c r="F51" s="15"/>
    </row>
  </sheetData>
  <sheetProtection selectLockedCells="1"/>
  <dataConsolidate function="product" link="1">
    <dataRefs count="1">
      <dataRef ref="B4:B18" sheet="special forces" r:id="rId1"/>
    </dataRefs>
  </dataConsolidate>
  <conditionalFormatting sqref="D25">
    <cfRule type="expression" dxfId="161" priority="1">
      <formula>(D25=E2)</formula>
    </cfRule>
    <cfRule type="expression" dxfId="160" priority="2">
      <formula>D25&gt;E2</formula>
    </cfRule>
    <cfRule type="expression" dxfId="159" priority="3">
      <formula>D25&lt;E2</formula>
    </cfRule>
  </conditionalFormatting>
  <dataValidations count="3">
    <dataValidation type="list" allowBlank="1" showInputMessage="1" showErrorMessage="1" sqref="B2">
      <formula1>$A$28:$A$31</formula1>
    </dataValidation>
    <dataValidation type="list" allowBlank="1" showInputMessage="1" showErrorMessage="1" sqref="B3">
      <formula1>$A$40:$A$48</formula1>
    </dataValidation>
    <dataValidation type="list" allowBlank="1" showInputMessage="1" showErrorMessage="1" sqref="E10">
      <formula1>$E$13:$E$18</formula1>
    </dataValidation>
  </dataValidations>
  <pageMargins left="0.7" right="0.7" top="0.75" bottom="0.75" header="0.3" footer="0.3"/>
  <pageSetup paperSize="9" scale="67" orientation="landscape" r:id="rId2"/>
  <ignoredErrors>
    <ignoredError sqref="D6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clearSF">
                <anchor moveWithCells="1" sizeWithCells="1">
                  <from>
                    <xdr:col>0</xdr:col>
                    <xdr:colOff>25400</xdr:colOff>
                    <xdr:row>5</xdr:row>
                    <xdr:rowOff>184150</xdr:rowOff>
                  </from>
                  <to>
                    <xdr:col>0</xdr:col>
                    <xdr:colOff>1212850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'unit calc'!$A$233:$A$238</xm:f>
          </x14:formula1>
          <xm:sqref>B5:B17</xm:sqref>
        </x14:dataValidation>
        <x14:dataValidation type="list" allowBlank="1" showInputMessage="1" showErrorMessage="1">
          <x14:formula1>
            <xm:f>'unit calc'!$A$241:$A$247</xm:f>
          </x14:formula1>
          <xm:sqref>B19:B24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H51"/>
  <sheetViews>
    <sheetView zoomScale="90" zoomScaleNormal="90" workbookViewId="0">
      <selection activeCell="B10" sqref="B10"/>
    </sheetView>
  </sheetViews>
  <sheetFormatPr defaultRowHeight="14.5" x14ac:dyDescent="0.35"/>
  <cols>
    <col min="1" max="1" width="17.54296875" customWidth="1"/>
    <col min="2" max="2" width="16.08984375" customWidth="1"/>
    <col min="3" max="3" width="14.453125" bestFit="1" customWidth="1"/>
    <col min="4" max="4" width="10.26953125" customWidth="1"/>
    <col min="5" max="5" width="19.08984375" bestFit="1" customWidth="1"/>
    <col min="6" max="8" width="10.26953125" customWidth="1"/>
  </cols>
  <sheetData>
    <row r="1" spans="1:8" ht="15" thickBot="1" x14ac:dyDescent="0.4">
      <c r="B1" t="s">
        <v>70</v>
      </c>
      <c r="E1" t="s">
        <v>71</v>
      </c>
    </row>
    <row r="2" spans="1:8" ht="15" thickBot="1" x14ac:dyDescent="0.4">
      <c r="A2" t="s">
        <v>567</v>
      </c>
      <c r="B2" s="136" t="s">
        <v>75</v>
      </c>
      <c r="C2">
        <f>VLOOKUP(B2,Table1736[#All],2,FALSE)</f>
        <v>5</v>
      </c>
      <c r="D2" t="s">
        <v>0</v>
      </c>
      <c r="E2" s="136">
        <f>VLOOKUP(B2,Table1736[#All],3,FALSE)</f>
        <v>300</v>
      </c>
    </row>
    <row r="3" spans="1:8" ht="15" thickBot="1" x14ac:dyDescent="0.4">
      <c r="A3" t="s">
        <v>568</v>
      </c>
      <c r="B3" s="136"/>
      <c r="D3">
        <f>B3*10</f>
        <v>0</v>
      </c>
    </row>
    <row r="4" spans="1:8" ht="15" thickBot="1" x14ac:dyDescent="0.4">
      <c r="A4" t="s">
        <v>569</v>
      </c>
      <c r="B4" t="s">
        <v>683</v>
      </c>
      <c r="C4" t="s">
        <v>41</v>
      </c>
      <c r="D4">
        <f>VLOOKUP($C4,individualunitbasecost[#All],$C$2,FALSE)</f>
        <v>72</v>
      </c>
    </row>
    <row r="5" spans="1:8" ht="15" thickBot="1" x14ac:dyDescent="0.4">
      <c r="A5" t="s">
        <v>570</v>
      </c>
      <c r="B5" s="137"/>
      <c r="C5" t="str">
        <f>IF(B5="","",VLOOKUP(B5,specialforces41[#All],2,FALSE))</f>
        <v/>
      </c>
      <c r="D5">
        <f ca="1">VLOOKUP($B5,specialforces41[#All],$C$2+1,FALSE)</f>
        <v>0</v>
      </c>
      <c r="F5" t="s">
        <v>15</v>
      </c>
      <c r="G5" t="s">
        <v>16</v>
      </c>
      <c r="H5" t="s">
        <v>20</v>
      </c>
    </row>
    <row r="6" spans="1:8" ht="15" thickBot="1" x14ac:dyDescent="0.4">
      <c r="A6" s="138"/>
      <c r="B6" s="137"/>
      <c r="C6" t="str">
        <f>IF(B6="","",VLOOKUP(B6,specialforces41[#All],2,FALSE))</f>
        <v/>
      </c>
      <c r="D6">
        <f ca="1">VLOOKUP($B6,specialforces41[#All],$C$2+1,FALSE)</f>
        <v>0</v>
      </c>
      <c r="F6" t="str">
        <f>B2&amp;", "&amp;E10&amp;""</f>
        <v xml:space="preserve">experienced, </v>
      </c>
      <c r="G6">
        <f ca="1">D25</f>
        <v>72</v>
      </c>
      <c r="H6" t="str">
        <f>B4&amp;", "&amp;C5&amp;", "&amp;C6&amp;", "&amp;C7&amp;", "&amp;C8&amp;", "&amp;C9&amp;", "&amp;C10&amp;", "&amp;C11&amp;", "&amp;C12&amp;", "&amp;C13&amp;", "&amp;C14&amp;", "&amp;C15&amp;", "&amp;C16&amp;", "&amp;C17&amp;", "&amp;C19&amp;", "&amp;C20&amp;", "&amp;C21&amp;", "&amp;C22&amp;", "&amp;C23&amp;","&amp;C24&amp;""</f>
        <v>Squad Leader, , , , , , , , , , , , , , , , , , ,</v>
      </c>
    </row>
    <row r="7" spans="1:8" ht="15" thickBot="1" x14ac:dyDescent="0.4">
      <c r="A7" s="138"/>
      <c r="B7" s="137"/>
      <c r="C7" t="str">
        <f>IF(B7="","",VLOOKUP(B7,specialforces41[#All],2,FALSE))</f>
        <v/>
      </c>
      <c r="D7">
        <f ca="1">VLOOKUP($B7,specialforces41[#All],$C$2+1,FALSE)</f>
        <v>0</v>
      </c>
      <c r="F7">
        <v>0</v>
      </c>
      <c r="G7">
        <v>0</v>
      </c>
      <c r="H7">
        <v>0</v>
      </c>
    </row>
    <row r="8" spans="1:8" ht="15" thickBot="1" x14ac:dyDescent="0.4">
      <c r="A8" s="138"/>
      <c r="B8" s="137"/>
      <c r="C8" t="str">
        <f>IF(B8="","",VLOOKUP(B8,specialforces41[#All],2,FALSE))</f>
        <v/>
      </c>
      <c r="D8">
        <f ca="1">VLOOKUP($B8,specialforces41[#All],$C$2+1,FALSE)</f>
        <v>0</v>
      </c>
    </row>
    <row r="9" spans="1:8" ht="15" thickBot="1" x14ac:dyDescent="0.4">
      <c r="A9" s="138"/>
      <c r="B9" s="137"/>
      <c r="C9" t="str">
        <f>IF(B9="","",VLOOKUP(B9,specialforces41[#All],2,FALSE))</f>
        <v/>
      </c>
      <c r="D9">
        <f ca="1">VLOOKUP($B9,specialforces41[#All],$C$2+1,FALSE)</f>
        <v>0</v>
      </c>
      <c r="E9" t="s">
        <v>113</v>
      </c>
    </row>
    <row r="10" spans="1:8" ht="15" thickBot="1" x14ac:dyDescent="0.4">
      <c r="B10" s="137"/>
      <c r="C10" t="str">
        <f>IF(B10="","",VLOOKUP(B10,specialforces41[#All],2,FALSE))</f>
        <v/>
      </c>
      <c r="D10">
        <f ca="1">VLOOKUP($B10,specialforces41[#All],$C$2+1,FALSE)</f>
        <v>0</v>
      </c>
      <c r="E10" s="136"/>
    </row>
    <row r="11" spans="1:8" ht="15" thickBot="1" x14ac:dyDescent="0.4">
      <c r="B11" s="137"/>
      <c r="C11" t="str">
        <f>IF(B11="","",VLOOKUP(B11,specialforces41[#All],2,FALSE))</f>
        <v/>
      </c>
      <c r="D11">
        <f ca="1">VLOOKUP($B11,specialforces41[#All],$C$2+1,FALSE)</f>
        <v>0</v>
      </c>
    </row>
    <row r="12" spans="1:8" ht="15" thickBot="1" x14ac:dyDescent="0.4">
      <c r="B12" s="137"/>
      <c r="C12" t="str">
        <f>IF(B12="","",VLOOKUP(B12,specialforces41[#All],2,FALSE))</f>
        <v/>
      </c>
      <c r="D12">
        <f ca="1">VLOOKUP($B12,specialforces41[#All],$C$2+1,FALSE)</f>
        <v>0</v>
      </c>
      <c r="E12" s="81" t="s">
        <v>250</v>
      </c>
      <c r="F12" s="59"/>
    </row>
    <row r="13" spans="1:8" ht="15" thickBot="1" x14ac:dyDescent="0.4">
      <c r="B13" s="137"/>
      <c r="C13" t="str">
        <f>IF(B13="","",VLOOKUP(B13,specialforces41[#All],2,FALSE))</f>
        <v/>
      </c>
      <c r="D13">
        <f ca="1">VLOOKUP($B13,specialforces41[#All],$C$2+1,FALSE)</f>
        <v>0</v>
      </c>
      <c r="E13" s="15" t="s">
        <v>114</v>
      </c>
      <c r="F13" s="290" t="s">
        <v>546</v>
      </c>
    </row>
    <row r="14" spans="1:8" ht="15" thickBot="1" x14ac:dyDescent="0.4">
      <c r="B14" s="137"/>
      <c r="C14" t="str">
        <f>IF(B14="","",VLOOKUP(B14,specialforces41[#All],2,FALSE))</f>
        <v/>
      </c>
      <c r="D14">
        <f ca="1">VLOOKUP($B14,specialforces41[#All],$C$2+1,FALSE)</f>
        <v>0</v>
      </c>
      <c r="E14" s="15" t="s">
        <v>115</v>
      </c>
      <c r="F14" s="290" t="s">
        <v>247</v>
      </c>
    </row>
    <row r="15" spans="1:8" ht="15" thickBot="1" x14ac:dyDescent="0.4">
      <c r="B15" s="137"/>
      <c r="C15" t="str">
        <f>IF(B15="","",VLOOKUP(B15,specialforces41[#All],2,FALSE))</f>
        <v/>
      </c>
      <c r="D15">
        <f ca="1">VLOOKUP($B15,specialforces41[#All],$C$2+1,FALSE)</f>
        <v>0</v>
      </c>
      <c r="E15" s="15" t="s">
        <v>116</v>
      </c>
      <c r="F15" s="290" t="s">
        <v>251</v>
      </c>
    </row>
    <row r="16" spans="1:8" ht="15" thickBot="1" x14ac:dyDescent="0.4">
      <c r="B16" s="137"/>
      <c r="C16" t="str">
        <f>IF(B16="","",VLOOKUP(B16,specialforces41[#All],2,FALSE))</f>
        <v/>
      </c>
      <c r="D16">
        <f ca="1">VLOOKUP($B16,specialforces41[#All],$C$2+1,FALSE)</f>
        <v>0</v>
      </c>
      <c r="E16" s="15" t="s">
        <v>252</v>
      </c>
      <c r="F16" s="290" t="s">
        <v>267</v>
      </c>
    </row>
    <row r="17" spans="1:6" ht="15" thickBot="1" x14ac:dyDescent="0.4">
      <c r="B17" s="136"/>
      <c r="C17" t="str">
        <f>IF(B17="","",VLOOKUP(B17,specialforces41[#All],2,FALSE))</f>
        <v/>
      </c>
      <c r="D17">
        <f ca="1">VLOOKUP($B17,specialforces41[#All],$C$2+1,FALSE)</f>
        <v>0</v>
      </c>
      <c r="E17" s="15" t="s">
        <v>253</v>
      </c>
      <c r="F17" s="290" t="s">
        <v>248</v>
      </c>
    </row>
    <row r="18" spans="1:6" ht="15" thickBot="1" x14ac:dyDescent="0.4">
      <c r="B18" s="59"/>
      <c r="C18" t="str">
        <f>IF(B18="","",VLOOKUP(B18,specialforces[#All],2,FALSE))</f>
        <v/>
      </c>
      <c r="E18" s="15" t="s">
        <v>254</v>
      </c>
      <c r="F18" s="290" t="s">
        <v>249</v>
      </c>
    </row>
    <row r="19" spans="1:6" ht="15" thickBot="1" x14ac:dyDescent="0.4">
      <c r="A19" t="s">
        <v>571</v>
      </c>
      <c r="B19" s="137"/>
      <c r="C19" t="str">
        <f>IF(B19="","",VLOOKUP(B19,specialforcesassetteams42[#All],2,FALSE))</f>
        <v/>
      </c>
      <c r="D19">
        <f ca="1">VLOOKUP($B19,specialforcesassetteams42[#All],$C$2+1,FALSE)</f>
        <v>0</v>
      </c>
    </row>
    <row r="20" spans="1:6" ht="15" thickBot="1" x14ac:dyDescent="0.4">
      <c r="B20" s="137"/>
      <c r="C20" t="str">
        <f>IF(B20="","",VLOOKUP(B20,specialforcesassetteams42[#All],2,FALSE))</f>
        <v/>
      </c>
      <c r="D20">
        <f ca="1">VLOOKUP($B20,specialforcesassetteams42[#All],$C$2+1,FALSE)</f>
        <v>0</v>
      </c>
    </row>
    <row r="21" spans="1:6" ht="15" thickBot="1" x14ac:dyDescent="0.4">
      <c r="B21" s="137"/>
      <c r="C21" t="str">
        <f>IF(B21="","",VLOOKUP(B21,specialforcesassetteams42[#All],2,FALSE))</f>
        <v/>
      </c>
      <c r="D21">
        <f ca="1">VLOOKUP($B21,specialforcesassetteams42[#All],$C$2+1,FALSE)</f>
        <v>0</v>
      </c>
    </row>
    <row r="22" spans="1:6" ht="15" thickBot="1" x14ac:dyDescent="0.4">
      <c r="B22" s="137"/>
      <c r="C22" t="str">
        <f>IF(B22="","",VLOOKUP(B22,specialforcesassetteams42[#All],2,FALSE))</f>
        <v/>
      </c>
      <c r="D22">
        <f ca="1">VLOOKUP($B22,specialforcesassetteams42[#All],$C$2+1,FALSE)</f>
        <v>0</v>
      </c>
    </row>
    <row r="23" spans="1:6" ht="15" thickBot="1" x14ac:dyDescent="0.4">
      <c r="B23" s="137"/>
      <c r="C23" t="str">
        <f>IF(B23="","",VLOOKUP(B23,specialforcesassetteams42[#All],2,FALSE))</f>
        <v/>
      </c>
      <c r="D23">
        <f ca="1">VLOOKUP($B23,specialforcesassetteams42[#All],$C$2+1,FALSE)</f>
        <v>0</v>
      </c>
    </row>
    <row r="24" spans="1:6" ht="15" thickBot="1" x14ac:dyDescent="0.4">
      <c r="B24" s="136"/>
      <c r="C24" t="str">
        <f>IF(B24="","",VLOOKUP(B24,specialforcesassetteams42[#All],2,FALSE))</f>
        <v/>
      </c>
      <c r="D24">
        <f ca="1">VLOOKUP($B24,specialforcesassetteams42[#All],$C$2+1,FALSE)</f>
        <v>0</v>
      </c>
    </row>
    <row r="25" spans="1:6" x14ac:dyDescent="0.35">
      <c r="A25" t="s">
        <v>10</v>
      </c>
      <c r="B25" s="13"/>
      <c r="D25">
        <f ca="1">SUM(D3:D24)</f>
        <v>72</v>
      </c>
    </row>
    <row r="26" spans="1:6" x14ac:dyDescent="0.35">
      <c r="B26" s="13"/>
    </row>
    <row r="27" spans="1:6" x14ac:dyDescent="0.35">
      <c r="A27" t="s">
        <v>15</v>
      </c>
      <c r="B27" t="s">
        <v>16</v>
      </c>
      <c r="C27" t="s">
        <v>20</v>
      </c>
    </row>
    <row r="28" spans="1:6" x14ac:dyDescent="0.35">
      <c r="A28" t="s">
        <v>30</v>
      </c>
      <c r="B28">
        <v>3</v>
      </c>
      <c r="C28">
        <v>200</v>
      </c>
    </row>
    <row r="29" spans="1:6" x14ac:dyDescent="0.35">
      <c r="A29" t="s">
        <v>31</v>
      </c>
      <c r="B29">
        <v>4</v>
      </c>
      <c r="C29">
        <v>250</v>
      </c>
    </row>
    <row r="30" spans="1:6" x14ac:dyDescent="0.35">
      <c r="A30" t="s">
        <v>75</v>
      </c>
      <c r="B30">
        <v>5</v>
      </c>
      <c r="C30">
        <v>300</v>
      </c>
    </row>
    <row r="31" spans="1:6" x14ac:dyDescent="0.35">
      <c r="A31" t="s">
        <v>33</v>
      </c>
      <c r="B31">
        <v>6</v>
      </c>
      <c r="C31">
        <v>350</v>
      </c>
    </row>
    <row r="33" spans="1:6" x14ac:dyDescent="0.35">
      <c r="C33" s="56"/>
      <c r="D33" s="56"/>
      <c r="E33" s="56"/>
      <c r="F33" s="56"/>
    </row>
    <row r="34" spans="1:6" x14ac:dyDescent="0.35">
      <c r="C34" s="56"/>
      <c r="D34" s="56"/>
      <c r="E34" s="56"/>
      <c r="F34" s="56"/>
    </row>
    <row r="35" spans="1:6" x14ac:dyDescent="0.35">
      <c r="C35" s="56"/>
      <c r="D35" s="56"/>
      <c r="E35" s="56"/>
      <c r="F35" s="56"/>
    </row>
    <row r="36" spans="1:6" x14ac:dyDescent="0.35">
      <c r="C36" s="56"/>
      <c r="D36" s="56"/>
      <c r="E36" s="56"/>
      <c r="F36" s="56"/>
    </row>
    <row r="37" spans="1:6" x14ac:dyDescent="0.35">
      <c r="C37" s="56"/>
      <c r="D37" s="56"/>
      <c r="E37" s="56"/>
      <c r="F37" s="56"/>
    </row>
    <row r="38" spans="1:6" x14ac:dyDescent="0.35">
      <c r="C38" s="56"/>
      <c r="D38" s="56"/>
      <c r="E38" s="56"/>
      <c r="F38" s="56"/>
    </row>
    <row r="39" spans="1:6" x14ac:dyDescent="0.35">
      <c r="C39" s="56"/>
      <c r="D39" s="56"/>
      <c r="E39" s="56"/>
      <c r="F39" s="56"/>
    </row>
    <row r="40" spans="1:6" x14ac:dyDescent="0.35">
      <c r="A40" s="15">
        <v>0</v>
      </c>
      <c r="B40" s="59"/>
      <c r="C40" s="59"/>
      <c r="D40" s="59"/>
      <c r="E40" s="59"/>
      <c r="F40" s="59"/>
    </row>
    <row r="41" spans="1:6" x14ac:dyDescent="0.35">
      <c r="A41">
        <v>1</v>
      </c>
      <c r="B41" s="50"/>
      <c r="C41" s="56"/>
      <c r="D41" s="56"/>
      <c r="E41" s="56"/>
      <c r="F41" s="56"/>
    </row>
    <row r="42" spans="1:6" x14ac:dyDescent="0.35">
      <c r="A42">
        <v>2</v>
      </c>
      <c r="B42" s="50"/>
      <c r="C42" s="56"/>
      <c r="D42" s="56"/>
      <c r="E42" s="56"/>
      <c r="F42" s="56"/>
    </row>
    <row r="43" spans="1:6" x14ac:dyDescent="0.35">
      <c r="A43">
        <v>3</v>
      </c>
      <c r="B43" s="50"/>
      <c r="C43" s="56"/>
      <c r="D43" s="56"/>
      <c r="E43" s="56"/>
      <c r="F43" s="56"/>
    </row>
    <row r="44" spans="1:6" x14ac:dyDescent="0.35">
      <c r="A44">
        <v>4</v>
      </c>
      <c r="B44" s="50"/>
      <c r="C44" s="50"/>
      <c r="D44" s="50"/>
      <c r="E44" s="50"/>
      <c r="F44" s="50"/>
    </row>
    <row r="45" spans="1:6" x14ac:dyDescent="0.35">
      <c r="A45">
        <v>5</v>
      </c>
      <c r="B45" s="50"/>
      <c r="C45" s="50"/>
      <c r="D45" s="50"/>
      <c r="E45" s="50"/>
      <c r="F45" s="50"/>
    </row>
    <row r="46" spans="1:6" x14ac:dyDescent="0.35">
      <c r="A46">
        <v>6</v>
      </c>
      <c r="B46" s="50"/>
      <c r="C46" s="50"/>
      <c r="D46" s="50"/>
      <c r="E46" s="50"/>
      <c r="F46" s="50"/>
    </row>
    <row r="47" spans="1:6" x14ac:dyDescent="0.35">
      <c r="A47">
        <v>7</v>
      </c>
      <c r="B47" s="50"/>
      <c r="C47" s="50"/>
      <c r="D47" s="50"/>
      <c r="E47" s="50"/>
      <c r="F47" s="50"/>
    </row>
    <row r="48" spans="1:6" x14ac:dyDescent="0.35">
      <c r="A48">
        <v>8</v>
      </c>
      <c r="B48" s="50"/>
      <c r="C48" s="50"/>
      <c r="D48" s="50"/>
      <c r="E48" s="50"/>
      <c r="F48" s="50"/>
    </row>
    <row r="49" spans="2:6" x14ac:dyDescent="0.35">
      <c r="B49" s="15"/>
      <c r="C49" s="15"/>
      <c r="D49" s="15"/>
      <c r="E49" s="15"/>
      <c r="F49" s="15"/>
    </row>
    <row r="50" spans="2:6" x14ac:dyDescent="0.35">
      <c r="B50" s="15"/>
      <c r="C50" s="15"/>
      <c r="D50" s="15"/>
      <c r="E50" s="15"/>
      <c r="F50" s="15"/>
    </row>
    <row r="51" spans="2:6" x14ac:dyDescent="0.35">
      <c r="B51" s="15"/>
      <c r="C51" s="15"/>
      <c r="D51" s="15"/>
      <c r="E51" s="15"/>
      <c r="F51" s="15"/>
    </row>
  </sheetData>
  <sheetProtection selectLockedCells="1"/>
  <dataConsolidate function="product" link="1">
    <dataRefs count="1">
      <dataRef ref="B4:B18" sheet="special forces" r:id="rId1"/>
    </dataRefs>
  </dataConsolidate>
  <conditionalFormatting sqref="D25">
    <cfRule type="expression" dxfId="158" priority="1">
      <formula>(D25=E2)</formula>
    </cfRule>
    <cfRule type="expression" dxfId="157" priority="2">
      <formula>D25&gt;E2</formula>
    </cfRule>
    <cfRule type="expression" dxfId="156" priority="3">
      <formula>D25&lt;E2</formula>
    </cfRule>
  </conditionalFormatting>
  <dataValidations count="3">
    <dataValidation type="list" allowBlank="1" showInputMessage="1" showErrorMessage="1" sqref="B3">
      <formula1>$A$40:$A$48</formula1>
    </dataValidation>
    <dataValidation type="list" allowBlank="1" showInputMessage="1" showErrorMessage="1" sqref="B2">
      <formula1>$A$28:$A$31</formula1>
    </dataValidation>
    <dataValidation type="list" allowBlank="1" showInputMessage="1" showErrorMessage="1" sqref="E10">
      <formula1>$E$13:$E$18</formula1>
    </dataValidation>
  </dataValidations>
  <pageMargins left="0.7" right="0.7" top="0.75" bottom="0.75" header="0.3" footer="0.3"/>
  <pageSetup paperSize="9" scale="67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Button 1">
              <controlPr defaultSize="0" print="0" autoFill="0" autoPict="0" macro="[0]!clearSF">
                <anchor moveWithCells="1" sizeWithCells="1">
                  <from>
                    <xdr:col>0</xdr:col>
                    <xdr:colOff>25400</xdr:colOff>
                    <xdr:row>5</xdr:row>
                    <xdr:rowOff>184150</xdr:rowOff>
                  </from>
                  <to>
                    <xdr:col>0</xdr:col>
                    <xdr:colOff>1212850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'unit calc'!$A$251:$A$256</xm:f>
          </x14:formula1>
          <xm:sqref>B5:B17</xm:sqref>
        </x14:dataValidation>
        <x14:dataValidation type="list" allowBlank="1" showInputMessage="1" showErrorMessage="1">
          <x14:formula1>
            <xm:f>'unit calc'!$A$259:$A$265</xm:f>
          </x14:formula1>
          <xm:sqref>B19:B24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H51"/>
  <sheetViews>
    <sheetView zoomScale="90" zoomScaleNormal="90" workbookViewId="0">
      <selection activeCell="C6" sqref="C6"/>
    </sheetView>
  </sheetViews>
  <sheetFormatPr defaultRowHeight="14.5" x14ac:dyDescent="0.35"/>
  <cols>
    <col min="1" max="1" width="17.54296875" customWidth="1"/>
    <col min="2" max="2" width="16.08984375" customWidth="1"/>
    <col min="3" max="3" width="14.453125" bestFit="1" customWidth="1"/>
    <col min="4" max="4" width="10.26953125" customWidth="1"/>
    <col min="5" max="5" width="19.08984375" bestFit="1" customWidth="1"/>
    <col min="6" max="8" width="10.26953125" customWidth="1"/>
  </cols>
  <sheetData>
    <row r="1" spans="1:8" ht="15" thickBot="1" x14ac:dyDescent="0.4">
      <c r="B1" t="s">
        <v>70</v>
      </c>
      <c r="E1" t="s">
        <v>71</v>
      </c>
    </row>
    <row r="2" spans="1:8" ht="15" thickBot="1" x14ac:dyDescent="0.4">
      <c r="A2" t="s">
        <v>567</v>
      </c>
      <c r="B2" s="136" t="s">
        <v>30</v>
      </c>
      <c r="C2">
        <f>VLOOKUP(B2,Table1738[#All],2,FALSE)</f>
        <v>3</v>
      </c>
      <c r="D2" t="s">
        <v>0</v>
      </c>
      <c r="E2" s="136">
        <f>VLOOKUP(B2,Table1738[#All],3,FALSE)</f>
        <v>200</v>
      </c>
    </row>
    <row r="3" spans="1:8" ht="15" thickBot="1" x14ac:dyDescent="0.4">
      <c r="A3" t="s">
        <v>568</v>
      </c>
      <c r="B3" s="136"/>
      <c r="D3">
        <f>B3*10</f>
        <v>0</v>
      </c>
    </row>
    <row r="4" spans="1:8" ht="15" thickBot="1" x14ac:dyDescent="0.4">
      <c r="A4" t="s">
        <v>569</v>
      </c>
      <c r="B4" t="s">
        <v>683</v>
      </c>
      <c r="C4" t="s">
        <v>14</v>
      </c>
      <c r="D4">
        <f>VLOOKUP($C4,individualunitbasecost[#All],$C$2,FALSE)</f>
        <v>59</v>
      </c>
    </row>
    <row r="5" spans="1:8" ht="15" thickBot="1" x14ac:dyDescent="0.4">
      <c r="A5" t="s">
        <v>570</v>
      </c>
      <c r="B5" s="137"/>
      <c r="C5" t="str">
        <f>IF(B5="","",VLOOKUP(B5,specialforces43[#All],2,FALSE))</f>
        <v/>
      </c>
      <c r="D5">
        <f ca="1">VLOOKUP($B5,specialforces43[#All],$C$2+1,FALSE)</f>
        <v>0</v>
      </c>
      <c r="F5" t="s">
        <v>15</v>
      </c>
      <c r="G5" t="s">
        <v>16</v>
      </c>
      <c r="H5" t="s">
        <v>20</v>
      </c>
    </row>
    <row r="6" spans="1:8" ht="15" thickBot="1" x14ac:dyDescent="0.4">
      <c r="A6" s="138"/>
      <c r="B6" s="137"/>
      <c r="C6" t="str">
        <f>IF(B6="","",VLOOKUP(B6,specialforces43[#All],2,FALSE))</f>
        <v/>
      </c>
      <c r="D6">
        <f ca="1">VLOOKUP($B6,specialforces43[#All],$C$2+1,FALSE)</f>
        <v>0</v>
      </c>
      <c r="F6" t="str">
        <f>B2&amp;", "&amp;E10&amp;""</f>
        <v xml:space="preserve">conscript, </v>
      </c>
      <c r="G6">
        <f ca="1">D25</f>
        <v>59</v>
      </c>
      <c r="H6" t="str">
        <f>B4&amp;", "&amp;C5&amp;", "&amp;C6&amp;", "&amp;C7&amp;", "&amp;C8&amp;", "&amp;C9&amp;", "&amp;C10&amp;", "&amp;C11&amp;", "&amp;C12&amp;", "&amp;C13&amp;", "&amp;C14&amp;", "&amp;C15&amp;", "&amp;C16&amp;", "&amp;C17&amp;", "&amp;C19&amp;", "&amp;C20&amp;", "&amp;C21&amp;", "&amp;C22&amp;", "&amp;C23&amp;","&amp;C24&amp;""</f>
        <v>Squad Leader, , , , , , , , , , , , , , , , , , ,</v>
      </c>
    </row>
    <row r="7" spans="1:8" ht="15" thickBot="1" x14ac:dyDescent="0.4">
      <c r="A7" s="138"/>
      <c r="B7" s="137"/>
      <c r="C7" t="str">
        <f>IF(B7="","",VLOOKUP(B7,specialforces43[#All],2,FALSE))</f>
        <v/>
      </c>
      <c r="D7">
        <f ca="1">VLOOKUP($B7,specialforces43[#All],$C$2+1,FALSE)</f>
        <v>0</v>
      </c>
      <c r="F7">
        <v>0</v>
      </c>
      <c r="G7">
        <v>0</v>
      </c>
      <c r="H7">
        <v>0</v>
      </c>
    </row>
    <row r="8" spans="1:8" ht="15" thickBot="1" x14ac:dyDescent="0.4">
      <c r="A8" s="138"/>
      <c r="B8" s="137"/>
      <c r="C8" t="str">
        <f>IF(B8="","",VLOOKUP(B8,specialforces43[#All],2,FALSE))</f>
        <v/>
      </c>
      <c r="D8">
        <f ca="1">VLOOKUP($B8,specialforces43[#All],$C$2+1,FALSE)</f>
        <v>0</v>
      </c>
    </row>
    <row r="9" spans="1:8" ht="15" thickBot="1" x14ac:dyDescent="0.4">
      <c r="A9" s="138"/>
      <c r="B9" s="137"/>
      <c r="C9" t="str">
        <f>IF(B9="","",VLOOKUP(B9,specialforces43[#All],2,FALSE))</f>
        <v/>
      </c>
      <c r="D9">
        <f ca="1">VLOOKUP($B9,specialforces43[#All],$C$2+1,FALSE)</f>
        <v>0</v>
      </c>
      <c r="E9" t="s">
        <v>113</v>
      </c>
    </row>
    <row r="10" spans="1:8" ht="15" thickBot="1" x14ac:dyDescent="0.4">
      <c r="B10" s="137"/>
      <c r="C10" t="str">
        <f>IF(B10="","",VLOOKUP(B10,specialforces43[#All],2,FALSE))</f>
        <v/>
      </c>
      <c r="D10">
        <f ca="1">VLOOKUP($B10,specialforces43[#All],$C$2+1,FALSE)</f>
        <v>0</v>
      </c>
      <c r="E10" s="136"/>
    </row>
    <row r="11" spans="1:8" ht="15" thickBot="1" x14ac:dyDescent="0.4">
      <c r="B11" s="137"/>
      <c r="C11" t="str">
        <f>IF(B11="","",VLOOKUP(B11,specialforces43[#All],2,FALSE))</f>
        <v/>
      </c>
      <c r="D11">
        <f ca="1">VLOOKUP($B11,specialforces43[#All],$C$2+1,FALSE)</f>
        <v>0</v>
      </c>
    </row>
    <row r="12" spans="1:8" ht="15" thickBot="1" x14ac:dyDescent="0.4">
      <c r="B12" s="137"/>
      <c r="C12" t="str">
        <f>IF(B12="","",VLOOKUP(B12,specialforces43[#All],2,FALSE))</f>
        <v/>
      </c>
      <c r="D12">
        <f ca="1">VLOOKUP($B12,specialforces43[#All],$C$2+1,FALSE)</f>
        <v>0</v>
      </c>
      <c r="E12" s="81" t="s">
        <v>250</v>
      </c>
      <c r="F12" s="59"/>
    </row>
    <row r="13" spans="1:8" ht="15" thickBot="1" x14ac:dyDescent="0.4">
      <c r="B13" s="137"/>
      <c r="C13" t="str">
        <f>IF(B13="","",VLOOKUP(B13,specialforces43[#All],2,FALSE))</f>
        <v/>
      </c>
      <c r="D13">
        <f ca="1">VLOOKUP($B13,specialforces43[#All],$C$2+1,FALSE)</f>
        <v>0</v>
      </c>
      <c r="E13" s="15" t="s">
        <v>114</v>
      </c>
      <c r="F13" s="290" t="s">
        <v>546</v>
      </c>
    </row>
    <row r="14" spans="1:8" ht="15" thickBot="1" x14ac:dyDescent="0.4">
      <c r="B14" s="137"/>
      <c r="C14" t="str">
        <f>IF(B14="","",VLOOKUP(B14,specialforces43[#All],2,FALSE))</f>
        <v/>
      </c>
      <c r="D14">
        <f ca="1">VLOOKUP($B14,specialforces43[#All],$C$2+1,FALSE)</f>
        <v>0</v>
      </c>
      <c r="E14" s="15" t="s">
        <v>115</v>
      </c>
      <c r="F14" s="290" t="s">
        <v>247</v>
      </c>
    </row>
    <row r="15" spans="1:8" ht="15" thickBot="1" x14ac:dyDescent="0.4">
      <c r="B15" s="137"/>
      <c r="C15" t="str">
        <f>IF(B15="","",VLOOKUP(B15,specialforces43[#All],2,FALSE))</f>
        <v/>
      </c>
      <c r="D15">
        <f ca="1">VLOOKUP($B15,specialforces43[#All],$C$2+1,FALSE)</f>
        <v>0</v>
      </c>
      <c r="E15" s="15" t="s">
        <v>116</v>
      </c>
      <c r="F15" s="290" t="s">
        <v>251</v>
      </c>
    </row>
    <row r="16" spans="1:8" ht="15" thickBot="1" x14ac:dyDescent="0.4">
      <c r="B16" s="137"/>
      <c r="C16" t="str">
        <f>IF(B16="","",VLOOKUP(B16,specialforces43[#All],2,FALSE))</f>
        <v/>
      </c>
      <c r="D16">
        <f ca="1">VLOOKUP($B16,specialforces43[#All],$C$2+1,FALSE)</f>
        <v>0</v>
      </c>
      <c r="E16" s="15" t="s">
        <v>252</v>
      </c>
      <c r="F16" s="290" t="s">
        <v>267</v>
      </c>
    </row>
    <row r="17" spans="1:6" ht="15" thickBot="1" x14ac:dyDescent="0.4">
      <c r="B17" s="136"/>
      <c r="C17" t="str">
        <f>IF(B17="","",VLOOKUP(B17,specialforces43[#All],2,FALSE))</f>
        <v/>
      </c>
      <c r="D17">
        <f ca="1">VLOOKUP($B17,specialforces43[#All],$C$2+1,FALSE)</f>
        <v>0</v>
      </c>
      <c r="E17" s="15" t="s">
        <v>253</v>
      </c>
      <c r="F17" s="290" t="s">
        <v>248</v>
      </c>
    </row>
    <row r="18" spans="1:6" ht="15" thickBot="1" x14ac:dyDescent="0.4">
      <c r="B18" s="59"/>
      <c r="E18" s="15" t="s">
        <v>254</v>
      </c>
      <c r="F18" s="290" t="s">
        <v>249</v>
      </c>
    </row>
    <row r="19" spans="1:6" ht="15" thickBot="1" x14ac:dyDescent="0.4">
      <c r="A19" t="s">
        <v>571</v>
      </c>
      <c r="B19" s="137"/>
      <c r="C19" t="str">
        <f>IF(B19="","",VLOOKUP(B19,specialforcesassetteams44[#All],2,FALSE))</f>
        <v/>
      </c>
      <c r="D19">
        <f ca="1">VLOOKUP($B19,specialforcesassetteams44[#All],$C$2+1,FALSE)</f>
        <v>0</v>
      </c>
    </row>
    <row r="20" spans="1:6" ht="15" thickBot="1" x14ac:dyDescent="0.4">
      <c r="B20" s="137"/>
      <c r="C20" t="str">
        <f>IF(B20="","",VLOOKUP(B20,specialforcesassetteams44[#All],2,FALSE))</f>
        <v/>
      </c>
      <c r="D20">
        <f ca="1">VLOOKUP($B20,specialforcesassetteams44[#All],$C$2+1,FALSE)</f>
        <v>0</v>
      </c>
    </row>
    <row r="21" spans="1:6" ht="15" thickBot="1" x14ac:dyDescent="0.4">
      <c r="B21" s="137"/>
      <c r="C21" t="str">
        <f>IF(B21="","",VLOOKUP(B21,specialforcesassetteams44[#All],2,FALSE))</f>
        <v/>
      </c>
      <c r="D21">
        <f ca="1">VLOOKUP($B21,specialforcesassetteams44[#All],$C$2+1,FALSE)</f>
        <v>0</v>
      </c>
    </row>
    <row r="22" spans="1:6" ht="15" thickBot="1" x14ac:dyDescent="0.4">
      <c r="B22" s="137"/>
      <c r="C22" t="str">
        <f>IF(B22="","",VLOOKUP(B22,specialforcesassetteams44[#All],2,FALSE))</f>
        <v/>
      </c>
      <c r="D22">
        <f ca="1">VLOOKUP($B22,specialforcesassetteams44[#All],$C$2+1,FALSE)</f>
        <v>0</v>
      </c>
    </row>
    <row r="23" spans="1:6" ht="15" thickBot="1" x14ac:dyDescent="0.4">
      <c r="B23" s="137"/>
      <c r="C23" t="str">
        <f>IF(B23="","",VLOOKUP(B23,specialforcesassetteams44[#All],2,FALSE))</f>
        <v/>
      </c>
      <c r="D23">
        <f ca="1">VLOOKUP($B23,specialforcesassetteams44[#All],$C$2+1,FALSE)</f>
        <v>0</v>
      </c>
    </row>
    <row r="24" spans="1:6" ht="15" thickBot="1" x14ac:dyDescent="0.4">
      <c r="B24" s="136"/>
      <c r="C24" t="str">
        <f>IF(B24="","",VLOOKUP(B24,specialforcesassetteams44[#All],2,FALSE))</f>
        <v/>
      </c>
      <c r="D24">
        <f ca="1">VLOOKUP($B24,specialforcesassetteams44[#All],$C$2+1,FALSE)</f>
        <v>0</v>
      </c>
    </row>
    <row r="25" spans="1:6" x14ac:dyDescent="0.35">
      <c r="A25" t="s">
        <v>10</v>
      </c>
      <c r="B25" s="13"/>
      <c r="D25">
        <f ca="1">SUM(D3:D24)</f>
        <v>59</v>
      </c>
    </row>
    <row r="26" spans="1:6" x14ac:dyDescent="0.35">
      <c r="B26" s="13"/>
    </row>
    <row r="27" spans="1:6" x14ac:dyDescent="0.35">
      <c r="A27" t="s">
        <v>15</v>
      </c>
      <c r="B27" t="s">
        <v>16</v>
      </c>
      <c r="C27" t="s">
        <v>20</v>
      </c>
    </row>
    <row r="28" spans="1:6" x14ac:dyDescent="0.35">
      <c r="A28" t="s">
        <v>30</v>
      </c>
      <c r="B28">
        <v>3</v>
      </c>
      <c r="C28">
        <v>200</v>
      </c>
    </row>
    <row r="29" spans="1:6" x14ac:dyDescent="0.35">
      <c r="A29" t="s">
        <v>31</v>
      </c>
      <c r="B29">
        <v>4</v>
      </c>
      <c r="C29">
        <v>250</v>
      </c>
    </row>
    <row r="30" spans="1:6" x14ac:dyDescent="0.35">
      <c r="A30" t="s">
        <v>75</v>
      </c>
      <c r="B30">
        <v>5</v>
      </c>
      <c r="C30">
        <v>300</v>
      </c>
    </row>
    <row r="31" spans="1:6" x14ac:dyDescent="0.35">
      <c r="A31" t="s">
        <v>33</v>
      </c>
      <c r="B31">
        <v>6</v>
      </c>
      <c r="C31">
        <v>350</v>
      </c>
    </row>
    <row r="33" spans="1:6" x14ac:dyDescent="0.35">
      <c r="C33" s="56"/>
      <c r="D33" s="56"/>
      <c r="E33" s="56"/>
      <c r="F33" s="56"/>
    </row>
    <row r="34" spans="1:6" x14ac:dyDescent="0.35">
      <c r="C34" s="56"/>
      <c r="D34" s="56"/>
      <c r="E34" s="56"/>
      <c r="F34" s="56"/>
    </row>
    <row r="35" spans="1:6" x14ac:dyDescent="0.35">
      <c r="C35" s="56"/>
      <c r="D35" s="56"/>
      <c r="E35" s="56"/>
      <c r="F35" s="56"/>
    </row>
    <row r="36" spans="1:6" x14ac:dyDescent="0.35">
      <c r="C36" s="56"/>
      <c r="D36" s="56"/>
      <c r="E36" s="56"/>
      <c r="F36" s="56"/>
    </row>
    <row r="37" spans="1:6" x14ac:dyDescent="0.35">
      <c r="C37" s="56"/>
      <c r="D37" s="56"/>
      <c r="E37" s="56"/>
      <c r="F37" s="56"/>
    </row>
    <row r="38" spans="1:6" x14ac:dyDescent="0.35">
      <c r="C38" s="56"/>
      <c r="D38" s="56"/>
      <c r="E38" s="56"/>
      <c r="F38" s="56"/>
    </row>
    <row r="39" spans="1:6" x14ac:dyDescent="0.35">
      <c r="C39" s="56"/>
      <c r="D39" s="56"/>
      <c r="E39" s="56"/>
      <c r="F39" s="56"/>
    </row>
    <row r="40" spans="1:6" x14ac:dyDescent="0.35">
      <c r="A40" s="15">
        <v>0</v>
      </c>
      <c r="B40" s="59"/>
      <c r="C40" s="59"/>
      <c r="D40" s="59"/>
      <c r="E40" s="59"/>
      <c r="F40" s="59"/>
    </row>
    <row r="41" spans="1:6" x14ac:dyDescent="0.35">
      <c r="A41">
        <v>1</v>
      </c>
      <c r="B41" s="50"/>
      <c r="C41" s="56"/>
      <c r="D41" s="56"/>
      <c r="E41" s="56"/>
      <c r="F41" s="56"/>
    </row>
    <row r="42" spans="1:6" x14ac:dyDescent="0.35">
      <c r="A42">
        <v>2</v>
      </c>
      <c r="B42" s="50"/>
      <c r="C42" s="56"/>
      <c r="D42" s="56"/>
      <c r="E42" s="56"/>
      <c r="F42" s="56"/>
    </row>
    <row r="43" spans="1:6" x14ac:dyDescent="0.35">
      <c r="A43">
        <v>3</v>
      </c>
      <c r="B43" s="50"/>
      <c r="C43" s="56"/>
      <c r="D43" s="56"/>
      <c r="E43" s="56"/>
      <c r="F43" s="56"/>
    </row>
    <row r="44" spans="1:6" x14ac:dyDescent="0.35">
      <c r="A44">
        <v>4</v>
      </c>
      <c r="B44" s="50"/>
      <c r="C44" s="50"/>
      <c r="D44" s="50"/>
      <c r="E44" s="50"/>
      <c r="F44" s="50"/>
    </row>
    <row r="45" spans="1:6" x14ac:dyDescent="0.35">
      <c r="A45">
        <v>5</v>
      </c>
      <c r="B45" s="50"/>
      <c r="C45" s="50"/>
      <c r="D45" s="50"/>
      <c r="E45" s="50"/>
      <c r="F45" s="50"/>
    </row>
    <row r="46" spans="1:6" x14ac:dyDescent="0.35">
      <c r="A46">
        <v>6</v>
      </c>
      <c r="B46" s="50"/>
      <c r="C46" s="50"/>
      <c r="D46" s="50"/>
      <c r="E46" s="50"/>
      <c r="F46" s="50"/>
    </row>
    <row r="47" spans="1:6" x14ac:dyDescent="0.35">
      <c r="A47">
        <v>7</v>
      </c>
      <c r="B47" s="50"/>
      <c r="C47" s="50"/>
      <c r="D47" s="50"/>
      <c r="E47" s="50"/>
      <c r="F47" s="50"/>
    </row>
    <row r="48" spans="1:6" x14ac:dyDescent="0.35">
      <c r="A48">
        <v>8</v>
      </c>
      <c r="B48" s="50"/>
      <c r="C48" s="50"/>
      <c r="D48" s="50"/>
      <c r="E48" s="50"/>
      <c r="F48" s="50"/>
    </row>
    <row r="49" spans="2:6" x14ac:dyDescent="0.35">
      <c r="B49" s="15"/>
      <c r="C49" s="15"/>
      <c r="D49" s="15"/>
      <c r="E49" s="15"/>
      <c r="F49" s="15"/>
    </row>
    <row r="50" spans="2:6" x14ac:dyDescent="0.35">
      <c r="B50" s="15"/>
      <c r="C50" s="15"/>
      <c r="D50" s="15"/>
      <c r="E50" s="15"/>
      <c r="F50" s="15"/>
    </row>
    <row r="51" spans="2:6" x14ac:dyDescent="0.35">
      <c r="B51" s="15"/>
      <c r="C51" s="15"/>
      <c r="D51" s="15"/>
      <c r="E51" s="15"/>
      <c r="F51" s="15"/>
    </row>
  </sheetData>
  <sheetProtection selectLockedCells="1"/>
  <dataConsolidate function="product" link="1">
    <dataRefs count="1">
      <dataRef ref="B4:B18" sheet="special forces" r:id="rId1"/>
    </dataRefs>
  </dataConsolidate>
  <conditionalFormatting sqref="D25">
    <cfRule type="expression" dxfId="155" priority="1">
      <formula>(D25=E2)</formula>
    </cfRule>
    <cfRule type="expression" dxfId="154" priority="2">
      <formula>D25&gt;E2</formula>
    </cfRule>
    <cfRule type="expression" dxfId="153" priority="3">
      <formula>D25&lt;E2</formula>
    </cfRule>
  </conditionalFormatting>
  <dataValidations count="3">
    <dataValidation type="list" allowBlank="1" showInputMessage="1" showErrorMessage="1" sqref="B3">
      <formula1>$A$40:$A$48</formula1>
    </dataValidation>
    <dataValidation type="list" allowBlank="1" showInputMessage="1" showErrorMessage="1" sqref="B2">
      <formula1>$A$28:$A$31</formula1>
    </dataValidation>
    <dataValidation type="list" allowBlank="1" showInputMessage="1" showErrorMessage="1" sqref="E10">
      <formula1>$E$13:$E$18</formula1>
    </dataValidation>
  </dataValidations>
  <pageMargins left="0.7" right="0.7" top="0.75" bottom="0.75" header="0.3" footer="0.3"/>
  <pageSetup paperSize="9" scale="67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1">
              <controlPr defaultSize="0" print="0" autoFill="0" autoPict="0" macro="[0]!clearSF">
                <anchor moveWithCells="1" sizeWithCells="1">
                  <from>
                    <xdr:col>0</xdr:col>
                    <xdr:colOff>25400</xdr:colOff>
                    <xdr:row>5</xdr:row>
                    <xdr:rowOff>184150</xdr:rowOff>
                  </from>
                  <to>
                    <xdr:col>0</xdr:col>
                    <xdr:colOff>1212850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'unit calc'!$A$269:$A$274</xm:f>
          </x14:formula1>
          <xm:sqref>B5:B17</xm:sqref>
        </x14:dataValidation>
        <x14:dataValidation type="list" allowBlank="1" showInputMessage="1" showErrorMessage="1">
          <x14:formula1>
            <xm:f>'unit calc'!$A$277:$A$283</xm:f>
          </x14:formula1>
          <xm:sqref>B19:B24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57" sqref="A57:I82"/>
    </sheetView>
  </sheetViews>
  <sheetFormatPr defaultColWidth="4.1796875" defaultRowHeight="9" customHeight="1" x14ac:dyDescent="0.3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BuildAllDataCards">
                <anchor moveWithCells="1" sizeWithCells="1">
                  <from>
                    <xdr:col>0</xdr:col>
                    <xdr:colOff>25400</xdr:colOff>
                    <xdr:row>0</xdr:row>
                    <xdr:rowOff>12700</xdr:rowOff>
                  </from>
                  <to>
                    <xdr:col>4</xdr:col>
                    <xdr:colOff>279400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cleardatacards">
                <anchor moveWithCells="1" sizeWithCells="1">
                  <from>
                    <xdr:col>5</xdr:col>
                    <xdr:colOff>6350</xdr:colOff>
                    <xdr:row>0</xdr:row>
                    <xdr:rowOff>12700</xdr:rowOff>
                  </from>
                  <to>
                    <xdr:col>8</xdr:col>
                    <xdr:colOff>279400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41"/>
  <sheetViews>
    <sheetView workbookViewId="0">
      <selection activeCell="C11" sqref="C11"/>
    </sheetView>
  </sheetViews>
  <sheetFormatPr defaultRowHeight="14.5" x14ac:dyDescent="0.35"/>
  <cols>
    <col min="1" max="1" width="11.1796875" bestFit="1" customWidth="1"/>
    <col min="2" max="2" width="12.90625" customWidth="1"/>
    <col min="3" max="3" width="19.81640625" bestFit="1" customWidth="1"/>
    <col min="4" max="4" width="16.81640625" bestFit="1" customWidth="1"/>
    <col min="5" max="5" width="10.26953125" customWidth="1"/>
    <col min="6" max="6" width="12.54296875" bestFit="1" customWidth="1"/>
    <col min="7" max="7" width="14.08984375" bestFit="1" customWidth="1"/>
    <col min="8" max="8" width="14.81640625" customWidth="1"/>
    <col min="9" max="9" width="11.08984375" bestFit="1" customWidth="1"/>
    <col min="10" max="10" width="11.26953125" customWidth="1"/>
    <col min="11" max="12" width="10.26953125" customWidth="1"/>
    <col min="13" max="13" width="16.81640625" bestFit="1" customWidth="1"/>
    <col min="14" max="15" width="10.26953125" customWidth="1"/>
    <col min="16" max="16" width="14.08984375" bestFit="1" customWidth="1"/>
    <col min="17" max="17" width="10.26953125" customWidth="1"/>
    <col min="18" max="18" width="12.1796875" bestFit="1" customWidth="1"/>
  </cols>
  <sheetData>
    <row r="1" spans="1:7" ht="15" thickBot="1" x14ac:dyDescent="0.4">
      <c r="A1" t="s">
        <v>203</v>
      </c>
      <c r="B1" t="s">
        <v>204</v>
      </c>
      <c r="C1" t="s">
        <v>0</v>
      </c>
    </row>
    <row r="2" spans="1:7" ht="15" thickBot="1" x14ac:dyDescent="0.4">
      <c r="A2" s="139"/>
      <c r="B2" s="139"/>
      <c r="C2" s="139"/>
    </row>
    <row r="3" spans="1:7" ht="15" thickBot="1" x14ac:dyDescent="0.4">
      <c r="C3">
        <f>IF(C2&lt;=250, 1, IF(C2&lt;=750, 2, IF(C2&lt;=1250, 3, IF(C2&lt;=1750, 4, IF(C2&lt;=2250, 5, IF(C2&lt;=2750, 6, 7))))))</f>
        <v>1</v>
      </c>
    </row>
    <row r="4" spans="1:7" ht="15" thickBot="1" x14ac:dyDescent="0.4">
      <c r="A4" s="8" t="s">
        <v>232</v>
      </c>
    </row>
    <row r="6" spans="1:7" x14ac:dyDescent="0.35">
      <c r="A6" s="95" t="s">
        <v>201</v>
      </c>
      <c r="B6" s="95" t="s">
        <v>202</v>
      </c>
      <c r="C6" s="95" t="s">
        <v>231</v>
      </c>
      <c r="D6" s="95" t="s">
        <v>234</v>
      </c>
      <c r="E6" s="95" t="s">
        <v>225</v>
      </c>
      <c r="F6" s="95" t="s">
        <v>208</v>
      </c>
      <c r="G6" s="95" t="s">
        <v>209</v>
      </c>
    </row>
    <row r="7" spans="1:7" x14ac:dyDescent="0.35">
      <c r="A7" t="str">
        <f ca="1">VLOOKUP(D31,Table20[#All],2)</f>
        <v>corners</v>
      </c>
      <c r="B7" t="str">
        <f ca="1">VLOOKUP(C3,Table19[#All],G31+1)</f>
        <v>2x2</v>
      </c>
      <c r="C7" t="str">
        <f ca="1">VLOOKUP(J31,Table21[#All],2)</f>
        <v>center</v>
      </c>
      <c r="D7">
        <f ca="1">VLOOKUP(C3,Table22[#All],L31+1)</f>
        <v>1</v>
      </c>
      <c r="E7" t="str">
        <f ca="1">VLOOKUP(P31,Table24[#All],2)</f>
        <v>trenches</v>
      </c>
      <c r="F7" t="str">
        <f ca="1">VLOOKUP(R31,Table25[#All],2)</f>
        <v>A n D</v>
      </c>
    </row>
    <row r="8" spans="1:7" x14ac:dyDescent="0.35">
      <c r="C8" t="str">
        <f ca="1">VLOOKUP(J39,Table26[#All],2)</f>
        <v>parallel to deployment</v>
      </c>
      <c r="F8" t="str">
        <f ca="1">IF(F7="A n D","Attack",0)</f>
        <v>Attack</v>
      </c>
    </row>
    <row r="9" spans="1:7" x14ac:dyDescent="0.35">
      <c r="F9">
        <f ca="1">IF(F8="attack", IF(RAND()&lt;0.5, A2, B2), 0)</f>
        <v>0</v>
      </c>
    </row>
    <row r="10" spans="1:7" x14ac:dyDescent="0.35">
      <c r="F10" t="str">
        <f ca="1">IF(F7="A n D","Defend",0)</f>
        <v>Defend</v>
      </c>
    </row>
    <row r="11" spans="1:7" x14ac:dyDescent="0.35">
      <c r="F11">
        <f ca="1">IF(F10="defend", IF(F9=A2,B2,A2),0)</f>
        <v>0</v>
      </c>
    </row>
    <row r="29" spans="1:18" x14ac:dyDescent="0.35">
      <c r="C29" s="142"/>
    </row>
    <row r="31" spans="1:18" x14ac:dyDescent="0.35">
      <c r="A31" t="s">
        <v>161</v>
      </c>
      <c r="C31" t="s">
        <v>201</v>
      </c>
      <c r="D31" s="9">
        <f ca="1">RANDBETWEEN(1,5)</f>
        <v>1</v>
      </c>
      <c r="F31" t="s">
        <v>202</v>
      </c>
      <c r="G31" s="9">
        <f ca="1">RANDBETWEEN(1,3)</f>
        <v>1</v>
      </c>
      <c r="I31" t="s">
        <v>231</v>
      </c>
      <c r="J31" s="9">
        <f ca="1">RANDBETWEEN(1,5)</f>
        <v>1</v>
      </c>
      <c r="K31" t="s">
        <v>234</v>
      </c>
      <c r="L31" s="9">
        <f ca="1">RANDBETWEEN(1,3)</f>
        <v>1</v>
      </c>
      <c r="O31" t="s">
        <v>225</v>
      </c>
      <c r="P31" s="141">
        <f ca="1">RANDBETWEEN(1,6)</f>
        <v>4</v>
      </c>
      <c r="Q31" t="s">
        <v>236</v>
      </c>
      <c r="R31" s="141">
        <f ca="1">RANDBETWEEN(1,2)</f>
        <v>2</v>
      </c>
    </row>
    <row r="32" spans="1:18" x14ac:dyDescent="0.35">
      <c r="F32">
        <v>1</v>
      </c>
      <c r="G32">
        <v>2</v>
      </c>
      <c r="H32">
        <v>3</v>
      </c>
      <c r="K32" s="140"/>
    </row>
    <row r="33" spans="1:18" x14ac:dyDescent="0.35">
      <c r="A33" t="s">
        <v>195</v>
      </c>
      <c r="B33">
        <v>1</v>
      </c>
      <c r="C33">
        <v>1</v>
      </c>
      <c r="D33" t="s">
        <v>205</v>
      </c>
      <c r="E33">
        <v>1</v>
      </c>
      <c r="F33" t="s">
        <v>212</v>
      </c>
      <c r="G33" t="s">
        <v>214</v>
      </c>
      <c r="H33" t="s">
        <v>213</v>
      </c>
      <c r="I33">
        <v>1</v>
      </c>
      <c r="J33" t="s">
        <v>221</v>
      </c>
      <c r="K33" s="3">
        <v>1</v>
      </c>
      <c r="L33">
        <v>1</v>
      </c>
      <c r="M33">
        <v>2</v>
      </c>
      <c r="N33">
        <v>3</v>
      </c>
      <c r="Q33">
        <v>1</v>
      </c>
      <c r="R33" t="s">
        <v>19</v>
      </c>
    </row>
    <row r="34" spans="1:18" x14ac:dyDescent="0.35">
      <c r="A34" t="s">
        <v>196</v>
      </c>
      <c r="B34">
        <v>2</v>
      </c>
      <c r="C34">
        <v>2</v>
      </c>
      <c r="D34" t="s">
        <v>206</v>
      </c>
      <c r="E34">
        <v>2</v>
      </c>
      <c r="F34" t="s">
        <v>214</v>
      </c>
      <c r="G34" t="s">
        <v>213</v>
      </c>
      <c r="H34" t="s">
        <v>216</v>
      </c>
      <c r="I34">
        <v>2</v>
      </c>
      <c r="J34" t="s">
        <v>205</v>
      </c>
      <c r="K34" s="5">
        <v>2</v>
      </c>
      <c r="L34">
        <v>1</v>
      </c>
      <c r="M34">
        <v>2</v>
      </c>
      <c r="N34">
        <v>3</v>
      </c>
      <c r="O34">
        <v>1</v>
      </c>
      <c r="P34" t="s">
        <v>226</v>
      </c>
      <c r="Q34">
        <v>2</v>
      </c>
      <c r="R34" t="s">
        <v>237</v>
      </c>
    </row>
    <row r="35" spans="1:18" x14ac:dyDescent="0.35">
      <c r="A35" t="s">
        <v>197</v>
      </c>
      <c r="B35">
        <v>3</v>
      </c>
      <c r="C35">
        <v>3</v>
      </c>
      <c r="D35" t="s">
        <v>207</v>
      </c>
      <c r="E35">
        <v>3</v>
      </c>
      <c r="F35" t="s">
        <v>213</v>
      </c>
      <c r="G35" t="s">
        <v>216</v>
      </c>
      <c r="H35" t="s">
        <v>215</v>
      </c>
      <c r="I35">
        <v>3</v>
      </c>
      <c r="J35" t="s">
        <v>222</v>
      </c>
      <c r="K35" s="3">
        <v>3</v>
      </c>
      <c r="L35">
        <v>2</v>
      </c>
      <c r="M35">
        <v>3</v>
      </c>
      <c r="N35">
        <v>4</v>
      </c>
      <c r="O35">
        <v>2</v>
      </c>
      <c r="P35" t="s">
        <v>227</v>
      </c>
    </row>
    <row r="36" spans="1:18" x14ac:dyDescent="0.35">
      <c r="A36" t="s">
        <v>198</v>
      </c>
      <c r="B36">
        <v>4</v>
      </c>
      <c r="C36">
        <v>4</v>
      </c>
      <c r="D36" t="s">
        <v>211</v>
      </c>
      <c r="E36">
        <v>4</v>
      </c>
      <c r="F36" t="s">
        <v>216</v>
      </c>
      <c r="G36" t="s">
        <v>215</v>
      </c>
      <c r="H36" t="s">
        <v>217</v>
      </c>
      <c r="I36">
        <v>4</v>
      </c>
      <c r="J36" t="s">
        <v>223</v>
      </c>
      <c r="K36" s="5">
        <v>4</v>
      </c>
      <c r="L36">
        <v>3</v>
      </c>
      <c r="M36">
        <v>4</v>
      </c>
      <c r="N36">
        <v>5</v>
      </c>
      <c r="O36">
        <v>3</v>
      </c>
      <c r="P36" t="s">
        <v>228</v>
      </c>
    </row>
    <row r="37" spans="1:18" x14ac:dyDescent="0.35">
      <c r="A37" t="s">
        <v>199</v>
      </c>
      <c r="B37">
        <v>5</v>
      </c>
      <c r="C37">
        <v>5</v>
      </c>
      <c r="D37" t="s">
        <v>210</v>
      </c>
      <c r="E37">
        <v>5</v>
      </c>
      <c r="F37" t="s">
        <v>215</v>
      </c>
      <c r="G37" t="s">
        <v>217</v>
      </c>
      <c r="H37" t="s">
        <v>220</v>
      </c>
      <c r="I37">
        <v>5</v>
      </c>
      <c r="J37" t="s">
        <v>224</v>
      </c>
      <c r="K37" s="3">
        <v>5</v>
      </c>
      <c r="L37">
        <v>4</v>
      </c>
      <c r="M37">
        <v>5</v>
      </c>
      <c r="N37">
        <v>6</v>
      </c>
      <c r="O37">
        <v>4</v>
      </c>
      <c r="P37" t="s">
        <v>230</v>
      </c>
    </row>
    <row r="38" spans="1:18" x14ac:dyDescent="0.35">
      <c r="A38" t="s">
        <v>200</v>
      </c>
      <c r="B38">
        <v>6</v>
      </c>
      <c r="E38">
        <v>6</v>
      </c>
      <c r="F38" t="s">
        <v>217</v>
      </c>
      <c r="G38" t="s">
        <v>220</v>
      </c>
      <c r="H38" t="s">
        <v>219</v>
      </c>
      <c r="K38" s="5">
        <v>6</v>
      </c>
      <c r="L38">
        <v>5</v>
      </c>
      <c r="M38">
        <v>6</v>
      </c>
      <c r="N38">
        <v>7</v>
      </c>
      <c r="O38">
        <v>5</v>
      </c>
      <c r="P38" t="s">
        <v>229</v>
      </c>
    </row>
    <row r="39" spans="1:18" x14ac:dyDescent="0.35">
      <c r="A39" t="s">
        <v>233</v>
      </c>
      <c r="B39">
        <v>7</v>
      </c>
      <c r="E39">
        <v>7</v>
      </c>
      <c r="F39" t="s">
        <v>220</v>
      </c>
      <c r="G39" t="s">
        <v>219</v>
      </c>
      <c r="H39" t="s">
        <v>218</v>
      </c>
      <c r="J39" s="9">
        <f ca="1">RANDBETWEEN(1,2)</f>
        <v>1</v>
      </c>
      <c r="K39" s="3">
        <v>7</v>
      </c>
      <c r="L39">
        <v>6</v>
      </c>
      <c r="M39">
        <v>7</v>
      </c>
      <c r="N39">
        <v>8</v>
      </c>
      <c r="O39">
        <v>6</v>
      </c>
      <c r="P39" t="s">
        <v>235</v>
      </c>
    </row>
    <row r="40" spans="1:18" x14ac:dyDescent="0.35">
      <c r="I40">
        <v>1</v>
      </c>
      <c r="J40" t="s">
        <v>238</v>
      </c>
    </row>
    <row r="41" spans="1:18" x14ac:dyDescent="0.35">
      <c r="I41">
        <v>2</v>
      </c>
      <c r="J41" t="s">
        <v>239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culateActiveSheet">
                <anchor moveWithCells="1" sizeWithCells="1">
                  <from>
                    <xdr:col>0</xdr:col>
                    <xdr:colOff>19050</xdr:colOff>
                    <xdr:row>2</xdr:row>
                    <xdr:rowOff>158750</xdr:rowOff>
                  </from>
                  <to>
                    <xdr:col>1</xdr:col>
                    <xdr:colOff>50800</xdr:colOff>
                    <xdr:row>4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32"/>
  <sheetViews>
    <sheetView topLeftCell="A13" workbookViewId="0">
      <selection activeCell="H22" sqref="H22"/>
    </sheetView>
  </sheetViews>
  <sheetFormatPr defaultRowHeight="14.5" x14ac:dyDescent="0.35"/>
  <cols>
    <col min="5" max="5" width="8.7265625" customWidth="1"/>
  </cols>
  <sheetData>
    <row r="1" spans="1:19" x14ac:dyDescent="0.35">
      <c r="A1" s="304"/>
      <c r="B1" s="306"/>
      <c r="C1" s="307"/>
      <c r="D1" s="307"/>
      <c r="E1" s="307"/>
      <c r="F1" s="307"/>
      <c r="G1" s="307"/>
      <c r="H1" s="308"/>
      <c r="I1" s="349"/>
      <c r="K1" s="358"/>
      <c r="L1" s="306"/>
      <c r="M1" s="307"/>
      <c r="N1" s="307"/>
      <c r="O1" s="307"/>
      <c r="P1" s="307"/>
      <c r="Q1" s="307"/>
      <c r="R1" s="308"/>
      <c r="S1" s="356"/>
    </row>
    <row r="2" spans="1:19" x14ac:dyDescent="0.35">
      <c r="A2" s="305"/>
      <c r="B2" s="309"/>
      <c r="C2" s="310"/>
      <c r="D2" s="310"/>
      <c r="E2" s="310"/>
      <c r="F2" s="310"/>
      <c r="G2" s="310"/>
      <c r="H2" s="311"/>
      <c r="I2" s="350"/>
      <c r="K2" s="359"/>
      <c r="L2" s="309"/>
      <c r="M2" s="310"/>
      <c r="N2" s="310"/>
      <c r="O2" s="310"/>
      <c r="P2" s="310"/>
      <c r="Q2" s="310"/>
      <c r="R2" s="311"/>
      <c r="S2" s="357"/>
    </row>
    <row r="3" spans="1:19" x14ac:dyDescent="0.35">
      <c r="A3" s="244"/>
      <c r="B3" s="245"/>
      <c r="C3" s="245"/>
      <c r="D3" s="245"/>
      <c r="E3" s="245"/>
      <c r="F3" s="245"/>
      <c r="G3" s="245"/>
      <c r="H3" s="245"/>
      <c r="I3" s="246"/>
      <c r="K3" s="235"/>
      <c r="L3" s="237"/>
      <c r="M3" s="237"/>
      <c r="N3" s="237"/>
      <c r="O3" s="237"/>
      <c r="P3" s="237"/>
      <c r="Q3" s="237"/>
      <c r="R3" s="237"/>
      <c r="S3" s="238"/>
    </row>
    <row r="4" spans="1:19" x14ac:dyDescent="0.35">
      <c r="A4" s="244"/>
      <c r="B4" s="245"/>
      <c r="C4" s="245"/>
      <c r="D4" s="315" t="s">
        <v>639</v>
      </c>
      <c r="E4" s="316"/>
      <c r="F4" s="317"/>
      <c r="G4" s="245"/>
      <c r="H4" s="245"/>
      <c r="I4" s="246"/>
      <c r="K4" s="260"/>
      <c r="L4" s="360" t="s">
        <v>635</v>
      </c>
      <c r="M4" s="361"/>
      <c r="N4" s="362"/>
      <c r="O4" s="261"/>
      <c r="P4" s="363" t="s">
        <v>179</v>
      </c>
      <c r="Q4" s="364"/>
      <c r="R4" s="237"/>
      <c r="S4" s="238"/>
    </row>
    <row r="5" spans="1:19" x14ac:dyDescent="0.35">
      <c r="A5" s="244"/>
      <c r="B5" s="245"/>
      <c r="C5" s="245"/>
      <c r="D5" s="312"/>
      <c r="E5" s="313"/>
      <c r="F5" s="314"/>
      <c r="G5" s="245"/>
      <c r="H5" s="245"/>
      <c r="I5" s="246"/>
      <c r="K5" s="260"/>
      <c r="L5" s="346"/>
      <c r="M5" s="347"/>
      <c r="N5" s="348"/>
      <c r="O5" s="261"/>
      <c r="P5" s="365"/>
      <c r="Q5" s="366"/>
      <c r="R5" s="237"/>
      <c r="S5" s="238"/>
    </row>
    <row r="6" spans="1:19" ht="14.5" customHeight="1" x14ac:dyDescent="0.35">
      <c r="A6" s="244"/>
      <c r="B6" s="328" t="s">
        <v>640</v>
      </c>
      <c r="C6" s="331"/>
      <c r="D6" s="334"/>
      <c r="E6" s="335"/>
      <c r="F6" s="336"/>
      <c r="G6" s="331"/>
      <c r="H6" s="340" t="s">
        <v>640</v>
      </c>
      <c r="I6" s="246"/>
      <c r="K6" s="260"/>
      <c r="L6" s="367"/>
      <c r="M6" s="368"/>
      <c r="N6" s="369"/>
      <c r="O6" s="261"/>
      <c r="P6" s="261"/>
      <c r="Q6" s="241"/>
      <c r="R6" s="242"/>
      <c r="S6" s="238"/>
    </row>
    <row r="7" spans="1:19" x14ac:dyDescent="0.35">
      <c r="A7" s="244"/>
      <c r="B7" s="329"/>
      <c r="C7" s="332"/>
      <c r="D7" s="337"/>
      <c r="E7" s="338"/>
      <c r="F7" s="339"/>
      <c r="G7" s="332"/>
      <c r="H7" s="341"/>
      <c r="I7" s="246"/>
      <c r="K7" s="260"/>
      <c r="L7" s="370"/>
      <c r="M7" s="371"/>
      <c r="N7" s="372"/>
      <c r="O7" s="261"/>
      <c r="P7" s="363" t="s">
        <v>646</v>
      </c>
      <c r="Q7" s="376"/>
      <c r="R7" s="262" t="s">
        <v>643</v>
      </c>
      <c r="S7" s="238"/>
    </row>
    <row r="8" spans="1:19" x14ac:dyDescent="0.35">
      <c r="A8" s="244"/>
      <c r="B8" s="329"/>
      <c r="C8" s="332"/>
      <c r="D8" s="337"/>
      <c r="E8" s="338"/>
      <c r="F8" s="339"/>
      <c r="G8" s="332"/>
      <c r="H8" s="341"/>
      <c r="I8" s="246"/>
      <c r="K8" s="235"/>
      <c r="L8" s="370"/>
      <c r="M8" s="371"/>
      <c r="N8" s="372"/>
      <c r="O8" s="261"/>
      <c r="P8" s="365"/>
      <c r="Q8" s="377"/>
      <c r="R8" s="263"/>
      <c r="S8" s="238"/>
    </row>
    <row r="9" spans="1:19" x14ac:dyDescent="0.35">
      <c r="A9" s="244"/>
      <c r="B9" s="329"/>
      <c r="C9" s="332"/>
      <c r="D9" s="337"/>
      <c r="E9" s="338"/>
      <c r="F9" s="339"/>
      <c r="G9" s="332"/>
      <c r="H9" s="341"/>
      <c r="I9" s="246"/>
      <c r="K9" s="235"/>
      <c r="L9" s="370"/>
      <c r="M9" s="371"/>
      <c r="N9" s="372"/>
      <c r="O9" s="261"/>
      <c r="P9" s="262" t="s">
        <v>642</v>
      </c>
      <c r="Q9" s="264" t="s">
        <v>669</v>
      </c>
      <c r="R9" s="265" t="s">
        <v>153</v>
      </c>
      <c r="S9" s="238"/>
    </row>
    <row r="10" spans="1:19" x14ac:dyDescent="0.35">
      <c r="A10" s="244"/>
      <c r="B10" s="329"/>
      <c r="C10" s="332"/>
      <c r="D10" s="337"/>
      <c r="E10" s="338"/>
      <c r="F10" s="339"/>
      <c r="G10" s="332"/>
      <c r="H10" s="341"/>
      <c r="I10" s="246"/>
      <c r="K10" s="235"/>
      <c r="L10" s="370"/>
      <c r="M10" s="371"/>
      <c r="N10" s="372"/>
      <c r="O10" s="261"/>
      <c r="P10" s="263"/>
      <c r="Q10" s="266"/>
      <c r="R10" s="263"/>
      <c r="S10" s="238"/>
    </row>
    <row r="11" spans="1:19" x14ac:dyDescent="0.35">
      <c r="A11" s="244"/>
      <c r="B11" s="329"/>
      <c r="C11" s="332"/>
      <c r="D11" s="337"/>
      <c r="E11" s="338"/>
      <c r="F11" s="339"/>
      <c r="G11" s="332"/>
      <c r="H11" s="341"/>
      <c r="I11" s="246"/>
      <c r="K11" s="235"/>
      <c r="L11" s="370"/>
      <c r="M11" s="371"/>
      <c r="N11" s="372"/>
      <c r="O11" s="261"/>
      <c r="P11" s="261"/>
      <c r="Q11" s="241"/>
      <c r="R11" s="242"/>
      <c r="S11" s="238"/>
    </row>
    <row r="12" spans="1:19" x14ac:dyDescent="0.35">
      <c r="A12" s="244"/>
      <c r="B12" s="329"/>
      <c r="C12" s="332"/>
      <c r="D12" s="337"/>
      <c r="E12" s="338"/>
      <c r="F12" s="339"/>
      <c r="G12" s="332"/>
      <c r="H12" s="341"/>
      <c r="I12" s="246"/>
      <c r="K12" s="235"/>
      <c r="L12" s="370"/>
      <c r="M12" s="371"/>
      <c r="N12" s="372"/>
      <c r="O12" s="261"/>
      <c r="P12" s="343" t="s">
        <v>658</v>
      </c>
      <c r="Q12" s="344"/>
      <c r="R12" s="345"/>
      <c r="S12" s="238"/>
    </row>
    <row r="13" spans="1:19" x14ac:dyDescent="0.35">
      <c r="A13" s="244"/>
      <c r="B13" s="329"/>
      <c r="C13" s="332"/>
      <c r="D13" s="337"/>
      <c r="E13" s="338"/>
      <c r="F13" s="339"/>
      <c r="G13" s="332"/>
      <c r="H13" s="341"/>
      <c r="I13" s="246"/>
      <c r="K13" s="235"/>
      <c r="L13" s="370"/>
      <c r="M13" s="371"/>
      <c r="N13" s="372"/>
      <c r="O13" s="261"/>
      <c r="P13" s="267" t="s">
        <v>670</v>
      </c>
      <c r="Q13" s="378" t="s">
        <v>664</v>
      </c>
      <c r="R13" s="379"/>
      <c r="S13" s="238"/>
    </row>
    <row r="14" spans="1:19" x14ac:dyDescent="0.35">
      <c r="A14" s="244"/>
      <c r="B14" s="329"/>
      <c r="C14" s="332"/>
      <c r="D14" s="337"/>
      <c r="E14" s="338"/>
      <c r="F14" s="339"/>
      <c r="G14" s="332"/>
      <c r="H14" s="341"/>
      <c r="I14" s="246"/>
      <c r="K14" s="235"/>
      <c r="L14" s="370"/>
      <c r="M14" s="371"/>
      <c r="N14" s="372"/>
      <c r="O14" s="261"/>
      <c r="P14" s="343" t="s">
        <v>649</v>
      </c>
      <c r="Q14" s="344"/>
      <c r="R14" s="345"/>
      <c r="S14" s="238"/>
    </row>
    <row r="15" spans="1:19" x14ac:dyDescent="0.35">
      <c r="A15" s="244"/>
      <c r="B15" s="330"/>
      <c r="C15" s="333"/>
      <c r="D15" s="337"/>
      <c r="E15" s="338"/>
      <c r="F15" s="339"/>
      <c r="G15" s="333"/>
      <c r="H15" s="342"/>
      <c r="I15" s="246"/>
      <c r="K15" s="235"/>
      <c r="L15" s="373"/>
      <c r="M15" s="374"/>
      <c r="N15" s="375"/>
      <c r="O15" s="261"/>
      <c r="P15" s="268"/>
      <c r="Q15" s="378" t="s">
        <v>671</v>
      </c>
      <c r="R15" s="379"/>
      <c r="S15" s="238"/>
    </row>
    <row r="16" spans="1:19" x14ac:dyDescent="0.35">
      <c r="A16" s="244"/>
      <c r="B16" s="247"/>
      <c r="C16" s="248"/>
      <c r="D16" s="312"/>
      <c r="E16" s="313"/>
      <c r="F16" s="314"/>
      <c r="G16" s="248"/>
      <c r="H16" s="249"/>
      <c r="I16" s="246"/>
      <c r="K16" s="235"/>
      <c r="L16" s="360" t="s">
        <v>648</v>
      </c>
      <c r="M16" s="361"/>
      <c r="N16" s="362"/>
      <c r="O16" s="261"/>
      <c r="P16" s="343" t="s">
        <v>157</v>
      </c>
      <c r="Q16" s="344"/>
      <c r="R16" s="345"/>
      <c r="S16" s="238"/>
    </row>
    <row r="17" spans="1:19" x14ac:dyDescent="0.35">
      <c r="A17" s="244"/>
      <c r="B17" s="247"/>
      <c r="C17" s="248"/>
      <c r="D17" s="315" t="s">
        <v>641</v>
      </c>
      <c r="E17" s="316"/>
      <c r="F17" s="317"/>
      <c r="G17" s="248"/>
      <c r="H17" s="249"/>
      <c r="I17" s="246"/>
      <c r="K17" s="235"/>
      <c r="L17" s="346"/>
      <c r="M17" s="347"/>
      <c r="N17" s="348"/>
      <c r="O17" s="261"/>
      <c r="P17" s="261"/>
      <c r="Q17" s="266"/>
      <c r="R17" s="261"/>
      <c r="S17" s="238"/>
    </row>
    <row r="18" spans="1:19" x14ac:dyDescent="0.35">
      <c r="A18" s="244"/>
      <c r="B18" s="245"/>
      <c r="C18" s="245"/>
      <c r="D18" s="250"/>
      <c r="E18" s="250"/>
      <c r="F18" s="250"/>
      <c r="G18" s="245"/>
      <c r="H18" s="245"/>
      <c r="I18" s="246"/>
      <c r="K18" s="235"/>
      <c r="L18" s="237"/>
      <c r="M18" s="237"/>
      <c r="N18" s="261"/>
      <c r="O18" s="261"/>
      <c r="P18" s="241"/>
      <c r="Q18" s="269"/>
      <c r="R18" s="269"/>
      <c r="S18" s="238"/>
    </row>
    <row r="19" spans="1:19" x14ac:dyDescent="0.35">
      <c r="A19" s="244"/>
      <c r="B19" s="321" t="s">
        <v>646</v>
      </c>
      <c r="C19" s="322"/>
      <c r="D19" s="323"/>
      <c r="E19" s="327" t="s">
        <v>270</v>
      </c>
      <c r="F19" s="327"/>
      <c r="G19" s="250"/>
      <c r="H19" s="250"/>
      <c r="I19" s="246"/>
      <c r="K19" s="235"/>
      <c r="L19" s="261"/>
      <c r="M19" s="261"/>
      <c r="N19" s="261"/>
      <c r="O19" s="243"/>
      <c r="P19" s="270"/>
      <c r="Q19" s="261"/>
      <c r="R19" s="261"/>
      <c r="S19" s="238"/>
    </row>
    <row r="20" spans="1:19" x14ac:dyDescent="0.35">
      <c r="A20" s="244"/>
      <c r="B20" s="324"/>
      <c r="C20" s="325"/>
      <c r="D20" s="326"/>
      <c r="E20" s="259"/>
      <c r="F20" s="245"/>
      <c r="G20" s="351" t="s">
        <v>647</v>
      </c>
      <c r="H20" s="326"/>
      <c r="I20" s="246"/>
      <c r="K20" s="236"/>
      <c r="L20" s="271"/>
      <c r="M20" s="271"/>
      <c r="N20" s="271"/>
      <c r="O20" s="239"/>
      <c r="P20" s="271"/>
      <c r="Q20" s="271"/>
      <c r="R20" s="271"/>
      <c r="S20" s="240"/>
    </row>
    <row r="21" spans="1:19" x14ac:dyDescent="0.35">
      <c r="A21" s="244"/>
      <c r="B21" s="251" t="s">
        <v>642</v>
      </c>
      <c r="C21" s="251" t="s">
        <v>645</v>
      </c>
      <c r="D21" s="251" t="s">
        <v>643</v>
      </c>
      <c r="E21" s="252" t="s">
        <v>153</v>
      </c>
      <c r="F21" s="253"/>
      <c r="G21" s="252" t="s">
        <v>645</v>
      </c>
      <c r="H21" s="254" t="s">
        <v>152</v>
      </c>
      <c r="I21" s="246"/>
      <c r="J21" s="135"/>
    </row>
    <row r="22" spans="1:19" x14ac:dyDescent="0.35">
      <c r="A22" s="244"/>
      <c r="B22" s="255"/>
      <c r="C22" s="255"/>
      <c r="D22" s="255"/>
      <c r="E22" s="255"/>
      <c r="F22" s="248"/>
      <c r="G22" s="255"/>
      <c r="H22" s="272"/>
      <c r="I22" s="246"/>
      <c r="J22" s="135"/>
    </row>
    <row r="23" spans="1:19" x14ac:dyDescent="0.35">
      <c r="A23" s="244"/>
      <c r="B23" s="245"/>
      <c r="C23" s="245"/>
      <c r="D23" s="245"/>
      <c r="E23" s="245"/>
      <c r="F23" s="245"/>
      <c r="G23" s="245"/>
      <c r="H23" s="245"/>
      <c r="I23" s="246"/>
      <c r="J23" s="135"/>
    </row>
    <row r="24" spans="1:19" x14ac:dyDescent="0.35">
      <c r="A24" s="244"/>
      <c r="B24" s="351" t="s">
        <v>160</v>
      </c>
      <c r="C24" s="352"/>
      <c r="D24" s="318" t="s">
        <v>644</v>
      </c>
      <c r="E24" s="319"/>
      <c r="F24" s="320"/>
      <c r="G24" s="351" t="s">
        <v>272</v>
      </c>
      <c r="H24" s="352"/>
      <c r="I24" s="246"/>
    </row>
    <row r="25" spans="1:19" x14ac:dyDescent="0.35">
      <c r="A25" s="244"/>
      <c r="B25" s="324"/>
      <c r="C25" s="326"/>
      <c r="D25" s="353"/>
      <c r="E25" s="354"/>
      <c r="F25" s="355"/>
      <c r="G25" s="324"/>
      <c r="H25" s="326"/>
      <c r="I25" s="246"/>
    </row>
    <row r="26" spans="1:19" x14ac:dyDescent="0.35">
      <c r="A26" s="256"/>
      <c r="B26" s="257"/>
      <c r="C26" s="257"/>
      <c r="D26" s="257"/>
      <c r="E26" s="257"/>
      <c r="F26" s="257"/>
      <c r="G26" s="257"/>
      <c r="H26" s="257"/>
      <c r="I26" s="258"/>
    </row>
    <row r="28" spans="1:19" x14ac:dyDescent="0.35">
      <c r="A28" t="s">
        <v>645</v>
      </c>
      <c r="B28" t="s">
        <v>152</v>
      </c>
      <c r="K28" t="s">
        <v>179</v>
      </c>
      <c r="L28" t="s">
        <v>17</v>
      </c>
      <c r="M28" t="s">
        <v>657</v>
      </c>
      <c r="N28" t="s">
        <v>658</v>
      </c>
      <c r="O28" t="s">
        <v>649</v>
      </c>
      <c r="P28" t="s">
        <v>663</v>
      </c>
      <c r="R28" t="s">
        <v>659</v>
      </c>
      <c r="S28" t="s">
        <v>660</v>
      </c>
    </row>
    <row r="29" spans="1:19" x14ac:dyDescent="0.35">
      <c r="A29">
        <v>4</v>
      </c>
      <c r="B29" t="s">
        <v>652</v>
      </c>
      <c r="K29" t="s">
        <v>656</v>
      </c>
      <c r="L29">
        <v>3</v>
      </c>
      <c r="M29" t="s">
        <v>662</v>
      </c>
      <c r="N29">
        <v>2</v>
      </c>
      <c r="O29">
        <v>3</v>
      </c>
      <c r="P29" t="s">
        <v>667</v>
      </c>
      <c r="R29" t="s">
        <v>664</v>
      </c>
      <c r="S29" t="s">
        <v>666</v>
      </c>
    </row>
    <row r="30" spans="1:19" x14ac:dyDescent="0.35">
      <c r="A30">
        <v>5</v>
      </c>
      <c r="B30" t="s">
        <v>653</v>
      </c>
      <c r="K30" t="s">
        <v>661</v>
      </c>
      <c r="L30">
        <v>4</v>
      </c>
      <c r="M30" t="s">
        <v>661</v>
      </c>
      <c r="N30">
        <v>2</v>
      </c>
      <c r="O30">
        <v>4</v>
      </c>
      <c r="P30" t="s">
        <v>668</v>
      </c>
      <c r="R30" t="s">
        <v>665</v>
      </c>
      <c r="S30" t="s">
        <v>666</v>
      </c>
    </row>
    <row r="31" spans="1:19" x14ac:dyDescent="0.35">
      <c r="A31">
        <v>6</v>
      </c>
      <c r="B31" t="s">
        <v>654</v>
      </c>
    </row>
    <row r="32" spans="1:19" x14ac:dyDescent="0.35">
      <c r="A32">
        <v>7</v>
      </c>
      <c r="B32" t="s">
        <v>655</v>
      </c>
    </row>
  </sheetData>
  <mergeCells count="39">
    <mergeCell ref="S1:S2"/>
    <mergeCell ref="G20:H20"/>
    <mergeCell ref="K1:K2"/>
    <mergeCell ref="L1:R2"/>
    <mergeCell ref="L4:N4"/>
    <mergeCell ref="P4:Q4"/>
    <mergeCell ref="L5:N5"/>
    <mergeCell ref="P5:Q5"/>
    <mergeCell ref="L6:N15"/>
    <mergeCell ref="P7:Q7"/>
    <mergeCell ref="P8:Q8"/>
    <mergeCell ref="P12:R12"/>
    <mergeCell ref="Q13:R13"/>
    <mergeCell ref="P14:R14"/>
    <mergeCell ref="Q15:R15"/>
    <mergeCell ref="L16:N16"/>
    <mergeCell ref="B25:C25"/>
    <mergeCell ref="G24:H24"/>
    <mergeCell ref="G25:H25"/>
    <mergeCell ref="D25:F25"/>
    <mergeCell ref="B24:C24"/>
    <mergeCell ref="P16:R16"/>
    <mergeCell ref="L17:N17"/>
    <mergeCell ref="I1:I2"/>
    <mergeCell ref="D4:F4"/>
    <mergeCell ref="D5:F5"/>
    <mergeCell ref="A1:A2"/>
    <mergeCell ref="B1:H2"/>
    <mergeCell ref="D16:F16"/>
    <mergeCell ref="D17:F17"/>
    <mergeCell ref="D24:F24"/>
    <mergeCell ref="B19:D19"/>
    <mergeCell ref="B20:D20"/>
    <mergeCell ref="E19:F19"/>
    <mergeCell ref="B6:B15"/>
    <mergeCell ref="C6:C15"/>
    <mergeCell ref="D6:F15"/>
    <mergeCell ref="G6:G15"/>
    <mergeCell ref="H6:H15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W22"/>
  <sheetViews>
    <sheetView topLeftCell="P1" workbookViewId="0">
      <selection activeCell="W1" sqref="W1"/>
    </sheetView>
  </sheetViews>
  <sheetFormatPr defaultRowHeight="14.5" x14ac:dyDescent="0.35"/>
  <cols>
    <col min="1" max="1" width="8.7265625" customWidth="1"/>
    <col min="28" max="28" width="20.1796875" customWidth="1"/>
    <col min="29" max="29" width="14.54296875" customWidth="1"/>
  </cols>
  <sheetData>
    <row r="1" spans="1:205" x14ac:dyDescent="0.35">
      <c r="A1" t="s">
        <v>392</v>
      </c>
      <c r="B1" t="s">
        <v>393</v>
      </c>
      <c r="C1" t="s">
        <v>579</v>
      </c>
      <c r="D1" t="s">
        <v>580</v>
      </c>
      <c r="E1" t="s">
        <v>505</v>
      </c>
      <c r="F1" t="s">
        <v>549</v>
      </c>
      <c r="G1" t="s">
        <v>394</v>
      </c>
      <c r="H1" t="s">
        <v>395</v>
      </c>
      <c r="I1" t="s">
        <v>399</v>
      </c>
      <c r="J1" t="s">
        <v>396</v>
      </c>
      <c r="K1" t="s">
        <v>397</v>
      </c>
      <c r="L1" t="s">
        <v>506</v>
      </c>
      <c r="M1" t="s">
        <v>550</v>
      </c>
      <c r="N1" t="s">
        <v>398</v>
      </c>
      <c r="O1" t="s">
        <v>581</v>
      </c>
      <c r="P1" t="s">
        <v>400</v>
      </c>
      <c r="Q1" t="s">
        <v>401</v>
      </c>
      <c r="R1" t="s">
        <v>402</v>
      </c>
      <c r="S1" t="s">
        <v>582</v>
      </c>
      <c r="T1" t="s">
        <v>583</v>
      </c>
      <c r="U1" t="s">
        <v>584</v>
      </c>
      <c r="V1" t="s">
        <v>507</v>
      </c>
      <c r="W1" t="s">
        <v>403</v>
      </c>
      <c r="X1" t="s">
        <v>404</v>
      </c>
      <c r="Y1" t="s">
        <v>585</v>
      </c>
      <c r="Z1" t="s">
        <v>586</v>
      </c>
      <c r="AA1" t="s">
        <v>587</v>
      </c>
      <c r="AB1" t="s">
        <v>508</v>
      </c>
      <c r="AC1" t="s">
        <v>551</v>
      </c>
      <c r="AD1" t="s">
        <v>405</v>
      </c>
      <c r="AE1" t="s">
        <v>406</v>
      </c>
      <c r="AF1" t="s">
        <v>407</v>
      </c>
      <c r="AG1" t="s">
        <v>408</v>
      </c>
      <c r="AH1" t="s">
        <v>409</v>
      </c>
      <c r="AI1" t="s">
        <v>410</v>
      </c>
      <c r="AJ1" t="s">
        <v>411</v>
      </c>
      <c r="AK1" t="s">
        <v>588</v>
      </c>
      <c r="AL1" t="s">
        <v>589</v>
      </c>
      <c r="AM1" t="s">
        <v>509</v>
      </c>
      <c r="AN1" t="s">
        <v>552</v>
      </c>
      <c r="AO1" t="s">
        <v>412</v>
      </c>
      <c r="AP1" t="s">
        <v>413</v>
      </c>
      <c r="AQ1" t="s">
        <v>414</v>
      </c>
      <c r="AR1" t="s">
        <v>415</v>
      </c>
      <c r="AS1" t="s">
        <v>590</v>
      </c>
      <c r="AT1" t="s">
        <v>510</v>
      </c>
      <c r="AU1" t="s">
        <v>553</v>
      </c>
      <c r="AV1" t="s">
        <v>416</v>
      </c>
      <c r="AW1" t="s">
        <v>417</v>
      </c>
      <c r="AX1" t="s">
        <v>418</v>
      </c>
      <c r="AY1" t="s">
        <v>419</v>
      </c>
      <c r="AZ1" t="s">
        <v>420</v>
      </c>
      <c r="BA1" t="s">
        <v>591</v>
      </c>
      <c r="BB1" t="s">
        <v>592</v>
      </c>
      <c r="BC1" t="s">
        <v>593</v>
      </c>
      <c r="BD1" t="s">
        <v>511</v>
      </c>
      <c r="BE1" t="s">
        <v>421</v>
      </c>
      <c r="BF1" t="s">
        <v>422</v>
      </c>
      <c r="BG1" t="s">
        <v>594</v>
      </c>
      <c r="BH1" t="s">
        <v>595</v>
      </c>
      <c r="BI1" t="s">
        <v>596</v>
      </c>
      <c r="BJ1" t="s">
        <v>512</v>
      </c>
      <c r="BK1" t="s">
        <v>554</v>
      </c>
      <c r="BL1" t="s">
        <v>423</v>
      </c>
      <c r="BM1" t="s">
        <v>424</v>
      </c>
      <c r="BN1" t="s">
        <v>425</v>
      </c>
      <c r="BO1" t="s">
        <v>426</v>
      </c>
      <c r="BP1" t="s">
        <v>427</v>
      </c>
      <c r="BQ1" t="s">
        <v>428</v>
      </c>
      <c r="BR1" t="s">
        <v>429</v>
      </c>
      <c r="BS1" t="s">
        <v>597</v>
      </c>
      <c r="BT1" t="s">
        <v>598</v>
      </c>
      <c r="BU1" t="s">
        <v>513</v>
      </c>
      <c r="BV1" t="s">
        <v>555</v>
      </c>
      <c r="BW1" t="s">
        <v>430</v>
      </c>
      <c r="BX1" t="s">
        <v>431</v>
      </c>
      <c r="BY1" t="s">
        <v>432</v>
      </c>
      <c r="BZ1" t="s">
        <v>433</v>
      </c>
      <c r="CA1" t="s">
        <v>599</v>
      </c>
      <c r="CB1" t="s">
        <v>514</v>
      </c>
      <c r="CC1" t="s">
        <v>556</v>
      </c>
      <c r="CD1" t="s">
        <v>434</v>
      </c>
      <c r="CE1" t="s">
        <v>435</v>
      </c>
      <c r="CF1" t="s">
        <v>436</v>
      </c>
      <c r="CG1" t="s">
        <v>437</v>
      </c>
      <c r="CH1" t="s">
        <v>438</v>
      </c>
      <c r="CI1" t="s">
        <v>600</v>
      </c>
      <c r="CJ1" t="s">
        <v>601</v>
      </c>
      <c r="CK1" t="s">
        <v>602</v>
      </c>
      <c r="CL1" t="s">
        <v>515</v>
      </c>
      <c r="CM1" t="s">
        <v>439</v>
      </c>
      <c r="CN1" t="s">
        <v>440</v>
      </c>
      <c r="CO1" t="s">
        <v>603</v>
      </c>
      <c r="CP1" t="s">
        <v>604</v>
      </c>
      <c r="CQ1" t="s">
        <v>605</v>
      </c>
      <c r="CR1" t="s">
        <v>516</v>
      </c>
      <c r="CS1" t="s">
        <v>557</v>
      </c>
      <c r="CT1" t="s">
        <v>441</v>
      </c>
      <c r="CU1" t="s">
        <v>442</v>
      </c>
      <c r="CV1" t="s">
        <v>443</v>
      </c>
      <c r="CW1" t="s">
        <v>444</v>
      </c>
      <c r="CX1" t="s">
        <v>445</v>
      </c>
      <c r="CY1" t="s">
        <v>446</v>
      </c>
      <c r="CZ1" t="s">
        <v>447</v>
      </c>
      <c r="DA1" t="s">
        <v>606</v>
      </c>
      <c r="DB1" t="s">
        <v>607</v>
      </c>
      <c r="DC1" t="s">
        <v>517</v>
      </c>
      <c r="DD1" t="s">
        <v>558</v>
      </c>
      <c r="DE1" t="s">
        <v>448</v>
      </c>
      <c r="DF1" t="s">
        <v>449</v>
      </c>
      <c r="DG1" t="s">
        <v>450</v>
      </c>
      <c r="DH1" t="s">
        <v>451</v>
      </c>
      <c r="DI1" t="s">
        <v>608</v>
      </c>
      <c r="DJ1" t="s">
        <v>518</v>
      </c>
      <c r="DK1" t="s">
        <v>559</v>
      </c>
      <c r="DL1" t="s">
        <v>452</v>
      </c>
      <c r="DM1" t="s">
        <v>453</v>
      </c>
      <c r="DN1" t="s">
        <v>454</v>
      </c>
      <c r="DO1" t="s">
        <v>455</v>
      </c>
      <c r="DP1" t="s">
        <v>456</v>
      </c>
      <c r="DQ1" t="s">
        <v>609</v>
      </c>
      <c r="DR1" t="s">
        <v>610</v>
      </c>
      <c r="DS1" t="s">
        <v>611</v>
      </c>
      <c r="DT1" t="s">
        <v>519</v>
      </c>
      <c r="DU1" t="s">
        <v>457</v>
      </c>
      <c r="DV1" t="s">
        <v>458</v>
      </c>
      <c r="DW1" t="s">
        <v>612</v>
      </c>
      <c r="DX1" t="s">
        <v>613</v>
      </c>
      <c r="DY1" t="s">
        <v>614</v>
      </c>
      <c r="DZ1" t="s">
        <v>520</v>
      </c>
      <c r="EA1" t="s">
        <v>560</v>
      </c>
      <c r="EB1" t="s">
        <v>459</v>
      </c>
      <c r="EC1" t="s">
        <v>460</v>
      </c>
      <c r="ED1" t="s">
        <v>461</v>
      </c>
      <c r="EE1" t="s">
        <v>462</v>
      </c>
      <c r="EF1" t="s">
        <v>463</v>
      </c>
      <c r="EG1" t="s">
        <v>464</v>
      </c>
      <c r="EH1" t="s">
        <v>465</v>
      </c>
      <c r="EI1" t="s">
        <v>615</v>
      </c>
      <c r="EJ1" t="s">
        <v>616</v>
      </c>
      <c r="EK1" t="s">
        <v>521</v>
      </c>
      <c r="EL1" t="s">
        <v>561</v>
      </c>
      <c r="EM1" t="s">
        <v>466</v>
      </c>
      <c r="EN1" t="s">
        <v>467</v>
      </c>
      <c r="EO1" t="s">
        <v>468</v>
      </c>
      <c r="EP1" t="s">
        <v>469</v>
      </c>
      <c r="EQ1" t="s">
        <v>617</v>
      </c>
      <c r="ER1" t="s">
        <v>522</v>
      </c>
      <c r="ES1" t="s">
        <v>562</v>
      </c>
      <c r="ET1" t="s">
        <v>470</v>
      </c>
      <c r="EU1" t="s">
        <v>471</v>
      </c>
      <c r="EV1" t="s">
        <v>472</v>
      </c>
      <c r="EW1" t="s">
        <v>473</v>
      </c>
      <c r="EX1" t="s">
        <v>474</v>
      </c>
      <c r="EY1" t="s">
        <v>618</v>
      </c>
      <c r="EZ1" t="s">
        <v>619</v>
      </c>
      <c r="FA1" t="s">
        <v>620</v>
      </c>
      <c r="FB1" t="s">
        <v>523</v>
      </c>
      <c r="FC1" t="s">
        <v>475</v>
      </c>
      <c r="FD1" t="s">
        <v>476</v>
      </c>
      <c r="FE1" t="s">
        <v>621</v>
      </c>
      <c r="FF1" t="s">
        <v>622</v>
      </c>
      <c r="FG1" t="s">
        <v>623</v>
      </c>
      <c r="FH1" t="s">
        <v>524</v>
      </c>
      <c r="FI1" t="s">
        <v>563</v>
      </c>
      <c r="FJ1" t="s">
        <v>477</v>
      </c>
      <c r="FK1" t="s">
        <v>478</v>
      </c>
      <c r="FL1" t="s">
        <v>479</v>
      </c>
      <c r="FM1" t="s">
        <v>480</v>
      </c>
      <c r="FN1" t="s">
        <v>481</v>
      </c>
      <c r="FO1" t="s">
        <v>482</v>
      </c>
      <c r="FP1" t="s">
        <v>483</v>
      </c>
      <c r="FQ1" t="s">
        <v>624</v>
      </c>
      <c r="FR1" t="s">
        <v>625</v>
      </c>
      <c r="FS1" t="s">
        <v>525</v>
      </c>
      <c r="FT1" t="s">
        <v>564</v>
      </c>
      <c r="FU1" t="s">
        <v>484</v>
      </c>
      <c r="FV1" t="s">
        <v>485</v>
      </c>
      <c r="FW1" t="s">
        <v>486</v>
      </c>
      <c r="FX1" t="s">
        <v>487</v>
      </c>
      <c r="FY1" t="s">
        <v>626</v>
      </c>
      <c r="FZ1" t="s">
        <v>526</v>
      </c>
      <c r="GA1" t="s">
        <v>565</v>
      </c>
      <c r="GB1" t="s">
        <v>488</v>
      </c>
      <c r="GC1" t="s">
        <v>489</v>
      </c>
      <c r="GD1" t="s">
        <v>490</v>
      </c>
      <c r="GE1" t="s">
        <v>491</v>
      </c>
      <c r="GF1" t="s">
        <v>492</v>
      </c>
      <c r="GG1" t="s">
        <v>627</v>
      </c>
      <c r="GH1" t="s">
        <v>628</v>
      </c>
      <c r="GI1" t="s">
        <v>629</v>
      </c>
      <c r="GJ1" t="s">
        <v>527</v>
      </c>
      <c r="GK1" t="s">
        <v>493</v>
      </c>
      <c r="GL1" t="s">
        <v>494</v>
      </c>
      <c r="GM1" t="s">
        <v>630</v>
      </c>
      <c r="GN1" t="s">
        <v>631</v>
      </c>
      <c r="GO1" t="s">
        <v>632</v>
      </c>
      <c r="GP1" t="s">
        <v>528</v>
      </c>
      <c r="GQ1" t="s">
        <v>566</v>
      </c>
      <c r="GR1" t="s">
        <v>495</v>
      </c>
      <c r="GS1" t="s">
        <v>496</v>
      </c>
      <c r="GT1" t="s">
        <v>497</v>
      </c>
      <c r="GU1" t="s">
        <v>498</v>
      </c>
      <c r="GV1" t="s">
        <v>499</v>
      </c>
    </row>
    <row r="2" spans="1:205" x14ac:dyDescent="0.35">
      <c r="A2" t="str">
        <f ca="1">'divs nats data base'!$D$2</f>
        <v>rifle squad_250</v>
      </c>
      <c r="B2" t="str">
        <f ca="1">'divs nats data base'!$D$6</f>
        <v>mortar squad_209</v>
      </c>
      <c r="C2" t="str">
        <f ca="1">'divs nats data base'!$D$19</f>
        <v>experienced, _72</v>
      </c>
      <c r="D2" t="str">
        <f ca="1">'divs nats data base'!$D$20</f>
        <v>experienced, _72</v>
      </c>
      <c r="E2" t="str">
        <f ca="1">'divs nats data base'!$D$21</f>
        <v>mmg team_75</v>
      </c>
      <c r="F2" t="str">
        <f ca="1">'divs nats data base'!$D$27</f>
        <v>20mm hispano_48</v>
      </c>
      <c r="G2" t="str">
        <f ca="1">'divs nats data base'!$D$31</f>
        <v>20mm hispano_152</v>
      </c>
      <c r="H2" t="str">
        <f ca="1">'divs nats data base'!$D$35</f>
        <v>jeep_16</v>
      </c>
      <c r="I2" t="str">
        <f ca="1">'divs nats data base'!$D$38</f>
        <v>Humber AC_150</v>
      </c>
      <c r="J2" t="str">
        <f ca="1">'divs nats data base'!$D$41</f>
        <v>rifle squad_250</v>
      </c>
      <c r="K2" t="str">
        <f ca="1">'divs nats data base'!$D$45</f>
        <v>mortar squad_209</v>
      </c>
      <c r="L2" t="str">
        <f ca="1">'divs nats data base'!$D$58</f>
        <v>mmg team_75</v>
      </c>
      <c r="M2" t="str">
        <f ca="1">'divs nats data base'!$D$64</f>
        <v>20mm hispano_48</v>
      </c>
      <c r="N2" t="str">
        <f ca="1">'divs nats data base'!$D$68</f>
        <v>20mm hispano_152</v>
      </c>
      <c r="O2" t="str">
        <f ca="1">'divs nats data base'!$D$72</f>
        <v>experienced, _72</v>
      </c>
      <c r="P2" t="str">
        <f ca="1">'divs nats data base'!$D$77</f>
        <v>Humber AC_150</v>
      </c>
      <c r="Q2" t="str">
        <f ca="1">'divs nats data base'!$D$80</f>
        <v>rifle squad_250</v>
      </c>
      <c r="R2" t="str">
        <f ca="1">'divs nats data base'!$D$84</f>
        <v>mortar squad_209</v>
      </c>
      <c r="S2" t="str">
        <f ca="1">'divs nats data base'!$D$97</f>
        <v>experienced, _72</v>
      </c>
      <c r="T2" t="str">
        <f ca="1">'divs nats data base'!$D$98</f>
        <v>experienced, _72</v>
      </c>
      <c r="U2" t="str">
        <f ca="1">'divs nats data base'!$D$99</f>
        <v>conscript, _59</v>
      </c>
      <c r="V2" t="str">
        <f ca="1">'divs nats data base'!$D$100</f>
        <v>mmg team_75</v>
      </c>
      <c r="W2" t="str">
        <f ca="1">'divs nats data base'!$D$106</f>
        <v>rifle squad_250</v>
      </c>
      <c r="X2" t="str">
        <f ca="1">'divs nats data base'!$D$110</f>
        <v>mortar squad_209</v>
      </c>
      <c r="Y2" t="str">
        <f ca="1">'divs nats data base'!$D$123</f>
        <v>experienced, _72</v>
      </c>
      <c r="Z2" t="str">
        <f ca="1">'divs nats data base'!$D$124</f>
        <v>experienced, _72</v>
      </c>
      <c r="AA2" t="str">
        <f ca="1">'divs nats data base'!$D$125</f>
        <v>conscript, _59</v>
      </c>
      <c r="AB2" t="str">
        <f ca="1">'divs nats data base'!$D$126</f>
        <v>mmg team_75</v>
      </c>
      <c r="AC2" t="str">
        <f ca="1">'divs nats data base'!$D$132</f>
        <v>20mm hispano_48</v>
      </c>
      <c r="AD2" t="str">
        <f ca="1">'divs nats data base'!$D$136</f>
        <v>20mm hispano_152</v>
      </c>
      <c r="AE2" t="str">
        <f ca="1">'divs nats data base'!$D$140</f>
        <v>jeep_16</v>
      </c>
      <c r="AF2" t="str">
        <f ca="1">'divs nats data base'!$D$145</f>
        <v>Humber AC_150</v>
      </c>
      <c r="AG2" t="str">
        <f ca="1">'divs nats data base'!$D$155</f>
        <v>Humber AC_150</v>
      </c>
      <c r="AH2" t="str">
        <f ca="1">'divs nats data base'!$D$165</f>
        <v>Humber AC_150</v>
      </c>
      <c r="AI2" t="str">
        <f ca="1">'divs nats data base'!$D$175</f>
        <v>rifle squad_250</v>
      </c>
      <c r="AJ2" t="str">
        <f ca="1">'divs nats data base'!$D$179</f>
        <v>mortar squad_209</v>
      </c>
      <c r="AK2" t="str">
        <f ca="1">'divs nats data base'!$D$192</f>
        <v>experienced, _72</v>
      </c>
      <c r="AL2" t="str">
        <f ca="1">'divs nats data base'!$D$193</f>
        <v>experienced, _72</v>
      </c>
      <c r="AM2" t="str">
        <f ca="1">'divs nats data base'!$D$194</f>
        <v>mmg team_75</v>
      </c>
      <c r="AN2" t="str">
        <f ca="1">'divs nats data base'!$D$200</f>
        <v>20mm flak 30/38_48</v>
      </c>
      <c r="AO2" t="str">
        <f ca="1">'divs nats data base'!$D$205</f>
        <v>20mm flak 30/38_152</v>
      </c>
      <c r="AP2" t="str">
        <f ca="1">'divs nats data base'!$D$210</f>
        <v>jeep_16</v>
      </c>
      <c r="AQ2" t="str">
        <f ca="1">'divs nats data base'!$D$214</f>
        <v>rifle squad_250</v>
      </c>
      <c r="AR2" t="str">
        <f ca="1">'divs nats data base'!$D$218</f>
        <v>mortar squad_209</v>
      </c>
      <c r="AS2" t="str">
        <f ca="1">'divs nats data base'!$D$231</f>
        <v>experienced, _72</v>
      </c>
      <c r="AT2" t="str">
        <f ca="1">'divs nats data base'!$D$232</f>
        <v>mmg team_75</v>
      </c>
      <c r="AU2" t="str">
        <f ca="1">'divs nats data base'!$D$238</f>
        <v>20mm flak 30/38_48</v>
      </c>
      <c r="AV2" t="str">
        <f ca="1">'divs nats data base'!$D$243</f>
        <v>20mm flak 30/38_152</v>
      </c>
      <c r="AW2" t="str">
        <f ca="1">'divs nats data base'!$D$248</f>
        <v>jeep_16</v>
      </c>
      <c r="AX2" t="str">
        <f ca="1">'divs nats data base'!$D$257</f>
        <v>Schwerer 234/1 AC_170</v>
      </c>
      <c r="AY2" t="str">
        <f ca="1">'divs nats data base'!$D$262</f>
        <v>rifle squad_250</v>
      </c>
      <c r="AZ2" t="str">
        <f ca="1">'divs nats data base'!$D$266</f>
        <v>mortar squad_209</v>
      </c>
      <c r="BA2" t="str">
        <f ca="1">'divs nats data base'!$D$279</f>
        <v>experienced, _72</v>
      </c>
      <c r="BB2" t="str">
        <f ca="1">'divs nats data base'!$D$280</f>
        <v>experienced, _72</v>
      </c>
      <c r="BC2" t="str">
        <f ca="1">'divs nats data base'!$D$281</f>
        <v>conscript, _59</v>
      </c>
      <c r="BD2" t="str">
        <f ca="1">'divs nats data base'!$D$282</f>
        <v>mmg team_75</v>
      </c>
      <c r="BE2" t="str">
        <f ca="1">'divs nats data base'!$D$288</f>
        <v>rifle squad_250</v>
      </c>
      <c r="BF2" t="str">
        <f ca="1">'divs nats data base'!$D$292</f>
        <v>mortar squad_209</v>
      </c>
      <c r="BG2" t="str">
        <f ca="1">'divs nats data base'!$D$305</f>
        <v>experienced, _72</v>
      </c>
      <c r="BH2" t="str">
        <f ca="1">'divs nats data base'!$D$306</f>
        <v>experienced, _72</v>
      </c>
      <c r="BI2" t="str">
        <f ca="1">'divs nats data base'!$D$307</f>
        <v>conscript, _59</v>
      </c>
      <c r="BJ2" t="str">
        <f ca="1">'divs nats data base'!$D$308</f>
        <v>mmg team_75</v>
      </c>
      <c r="BK2" t="str">
        <f ca="1">'divs nats data base'!$D$314</f>
        <v>20mm flak 30/38_48</v>
      </c>
      <c r="BL2" t="str">
        <f ca="1">'divs nats data base'!$D$319</f>
        <v>20mm flak 30/38_152</v>
      </c>
      <c r="BM2" t="str">
        <f ca="1">'divs nats data base'!$D$324</f>
        <v>jeep_16</v>
      </c>
      <c r="BN2" t="str">
        <f ca="1">'divs nats data base'!$D$328</f>
        <v>Schwerer 234/1 AC_170</v>
      </c>
      <c r="BO2" t="str">
        <f ca="1">'divs nats data base'!$D$339</f>
        <v>Schwerer 234/1 AC_170</v>
      </c>
      <c r="BP2" t="str">
        <f ca="1">'divs nats data base'!$D$350</f>
        <v>Schwerer 234/1 AC_170</v>
      </c>
      <c r="BQ2" t="str">
        <f ca="1">'divs nats data base'!$D$361</f>
        <v>rifle squad_250</v>
      </c>
      <c r="BR2" t="str">
        <f ca="1">'divs nats data base'!$D$365</f>
        <v>mortar squad_209</v>
      </c>
      <c r="BS2" t="str">
        <f ca="1">'divs nats data base'!$D$378</f>
        <v>experienced, _72</v>
      </c>
      <c r="BT2" t="str">
        <f ca="1">'divs nats data base'!$D$379</f>
        <v>experienced, _72</v>
      </c>
      <c r="BU2" t="str">
        <f ca="1">'divs nats data base'!$D$380</f>
        <v>mmg team_75</v>
      </c>
      <c r="BV2" t="str">
        <f ca="1">'divs nats data base'!$D$386</f>
        <v>20mm Oerlikon_48</v>
      </c>
      <c r="BW2" t="str">
        <f ca="1">'divs nats data base'!$D$390</f>
        <v>20mm Oerlikon_152</v>
      </c>
      <c r="BX2" t="str">
        <f ca="1">'divs nats data base'!$D$394</f>
        <v>jeep_16</v>
      </c>
      <c r="BY2" t="str">
        <f ca="1">'divs nats data base'!$D$397</f>
        <v>rifle squad_250</v>
      </c>
      <c r="BZ2" t="str">
        <f ca="1">'divs nats data base'!$D$401</f>
        <v>mortar squad_209</v>
      </c>
      <c r="CA2" t="str">
        <f ca="1">'divs nats data base'!$D$414</f>
        <v>experienced, _72</v>
      </c>
      <c r="CB2" t="str">
        <f ca="1">'divs nats data base'!$D$415</f>
        <v>mmg team_75</v>
      </c>
      <c r="CC2" t="str">
        <f ca="1">'divs nats data base'!$D$421</f>
        <v>20mm Oerlikon_48</v>
      </c>
      <c r="CD2" t="str">
        <f ca="1">'divs nats data base'!$D$425</f>
        <v>20mm Oerlikon_152</v>
      </c>
      <c r="CE2" t="str">
        <f ca="1">'divs nats data base'!$D$429</f>
        <v>jeep_16</v>
      </c>
      <c r="CF2" t="str">
        <f ca="1">'divs nats data base'!$D$439</f>
        <v>Valentine_270</v>
      </c>
      <c r="CG2" t="str">
        <f ca="1">'divs nats data base'!$D$444</f>
        <v>rifle squad_250</v>
      </c>
      <c r="CH2" t="str">
        <f ca="1">'divs nats data base'!$D$448</f>
        <v>mortar squad_209</v>
      </c>
      <c r="CI2" t="str">
        <f ca="1">'divs nats data base'!$D$461</f>
        <v>experienced, _72</v>
      </c>
      <c r="CJ2" t="str">
        <f ca="1">'divs nats data base'!$D$462</f>
        <v>experienced, _72</v>
      </c>
      <c r="CK2" t="str">
        <f ca="1">'divs nats data base'!$D$463</f>
        <v>conscript, _59</v>
      </c>
      <c r="CL2" t="str">
        <f ca="1">'divs nats data base'!$D$464</f>
        <v>mmg team_75</v>
      </c>
      <c r="CM2" t="str">
        <f ca="1">'divs nats data base'!$D$470</f>
        <v>rifle squad_250</v>
      </c>
      <c r="CN2" t="str">
        <f ca="1">'divs nats data base'!$D$474</f>
        <v>mortar squad_209</v>
      </c>
      <c r="CO2" t="str">
        <f ca="1">'divs nats data base'!$D$487</f>
        <v>experienced, _72</v>
      </c>
      <c r="CP2" t="str">
        <f ca="1">'divs nats data base'!$D$488</f>
        <v>experienced, _72</v>
      </c>
      <c r="CQ2" t="str">
        <f ca="1">'divs nats data base'!$D$489</f>
        <v>conscript, _59</v>
      </c>
      <c r="CR2" t="str">
        <f ca="1">'divs nats data base'!$D$490</f>
        <v>mmg team_75</v>
      </c>
      <c r="CS2" t="str">
        <f ca="1">'divs nats data base'!$D$496</f>
        <v>20mm Oerlikon_48</v>
      </c>
      <c r="CT2" t="str">
        <f ca="1">'divs nats data base'!$D$500</f>
        <v>20mm Oerlikon_152</v>
      </c>
      <c r="CU2" t="str">
        <f ca="1">'divs nats data base'!$D$504</f>
        <v>jeep_16</v>
      </c>
      <c r="CV2" s="200" t="str">
        <f ca="1">'divs nats data base'!$D$509</f>
        <v>Valentine_270</v>
      </c>
      <c r="CW2" s="200" t="str">
        <f ca="1">'divs nats data base'!$D$521</f>
        <v>Valentine_270</v>
      </c>
      <c r="CX2" t="str">
        <f ca="1">'divs nats data base'!$D$533</f>
        <v>Valentine_270</v>
      </c>
      <c r="CY2" t="str">
        <f ca="1">'divs nats data base'!$D$545</f>
        <v>rifle squad_250</v>
      </c>
      <c r="CZ2" t="str">
        <f ca="1">'divs nats data base'!$D$549</f>
        <v>mortar squad_209</v>
      </c>
      <c r="DA2" t="str">
        <f ca="1">'divs nats data base'!$D$562</f>
        <v>experienced, _72</v>
      </c>
      <c r="DB2" t="str">
        <f ca="1">'divs nats data base'!$D$563</f>
        <v>experienced, _72</v>
      </c>
      <c r="DC2" t="str">
        <f ca="1">'divs nats data base'!$D$564</f>
        <v>mmg team_75</v>
      </c>
      <c r="DD2" t="str">
        <f ca="1">'divs nats data base'!$D$570</f>
        <v>20mm flak 30/38_48</v>
      </c>
      <c r="DE2" t="str">
        <f ca="1">'divs nats data base'!$D$576</f>
        <v>20mm flak 30/38_152</v>
      </c>
      <c r="DF2" t="str">
        <f ca="1">'divs nats data base'!$D$582</f>
        <v>jeep_16</v>
      </c>
      <c r="DG2" t="str">
        <f ca="1">'divs nats data base'!$D$585</f>
        <v>rifle squad_250</v>
      </c>
      <c r="DH2" t="str">
        <f ca="1">'divs nats data base'!$D$589</f>
        <v>mortar squad_209</v>
      </c>
      <c r="DI2" t="str">
        <f ca="1">'divs nats data base'!$D$602</f>
        <v>experienced, _72</v>
      </c>
      <c r="DJ2" t="str">
        <f ca="1">'divs nats data base'!$D$603</f>
        <v>mmg team_75</v>
      </c>
      <c r="DK2" t="str">
        <f ca="1">'divs nats data base'!$D$609</f>
        <v>20mm flak 30/38_48</v>
      </c>
      <c r="DL2" t="str">
        <f ca="1">'divs nats data base'!$D$615</f>
        <v>20mm flak 30/38_152</v>
      </c>
      <c r="DM2" t="str">
        <f ca="1">'divs nats data base'!$D$621</f>
        <v>jeep_16</v>
      </c>
      <c r="DN2" t="str">
        <f ca="1">'divs nats data base'!$D$628</f>
        <v>BT-7_175</v>
      </c>
      <c r="DO2" t="str">
        <f ca="1">'divs nats data base'!$D$631</f>
        <v>rifle squad_250</v>
      </c>
      <c r="DP2" t="str">
        <f ca="1">'divs nats data base'!$D$635</f>
        <v>mortar squad_209</v>
      </c>
      <c r="DQ2" t="str">
        <f ca="1">'divs nats data base'!$D$648</f>
        <v>experienced, _72</v>
      </c>
      <c r="DR2" t="str">
        <f ca="1">'divs nats data base'!$D$649</f>
        <v>experienced, _72</v>
      </c>
      <c r="DS2" t="str">
        <f ca="1">'divs nats data base'!$D$650</f>
        <v>conscript, _59</v>
      </c>
      <c r="DT2" t="str">
        <f ca="1">'divs nats data base'!$D$651</f>
        <v>mmg team_75</v>
      </c>
      <c r="DU2" t="str">
        <f ca="1">'divs nats data base'!$D$657</f>
        <v>rifle squad_250</v>
      </c>
      <c r="DV2" t="str">
        <f ca="1">'divs nats data base'!$D$661</f>
        <v>mortar squad_209</v>
      </c>
      <c r="DW2" t="str">
        <f ca="1">'divs nats data base'!$D$674</f>
        <v>experienced, _72</v>
      </c>
      <c r="DX2" t="str">
        <f ca="1">'divs nats data base'!$D$675</f>
        <v>experienced, _72</v>
      </c>
      <c r="DY2" t="str">
        <f ca="1">'divs nats data base'!$D$676</f>
        <v>conscript, _59</v>
      </c>
      <c r="DZ2" t="str">
        <f ca="1">'divs nats data base'!$D$677</f>
        <v>mmg team_75</v>
      </c>
      <c r="EA2" t="str">
        <f ca="1">'divs nats data base'!$D$683</f>
        <v>20mm flak 30/38_48</v>
      </c>
      <c r="EB2" t="str">
        <f ca="1">'divs nats data base'!$D$689</f>
        <v>20mm flak 30/38_152</v>
      </c>
      <c r="EC2" t="str">
        <f ca="1">'divs nats data base'!$D$695</f>
        <v>jeep_16</v>
      </c>
      <c r="ED2" t="str">
        <f ca="1">'divs nats data base'!$D$699</f>
        <v>BT-7_175</v>
      </c>
      <c r="EE2" t="str">
        <f ca="1">'divs nats data base'!$D$708</f>
        <v>BT-7_175</v>
      </c>
      <c r="EF2" t="str">
        <f ca="1">'divs nats data base'!$D$717</f>
        <v>BT-7_175</v>
      </c>
      <c r="EG2" t="str">
        <f ca="1">'divs nats data base'!$D$726</f>
        <v>rifle squad_250</v>
      </c>
      <c r="EH2" t="str">
        <f ca="1">'divs nats data base'!$D$730</f>
        <v>mortar squad_209</v>
      </c>
      <c r="EI2" t="str">
        <f ca="1">'divs nats data base'!$D$743</f>
        <v>experienced, _72</v>
      </c>
      <c r="EJ2" t="str">
        <f ca="1">'divs nats data base'!$D$744</f>
        <v>experienced, _72</v>
      </c>
      <c r="EK2" t="str">
        <f ca="1">'divs nats data base'!$D$745</f>
        <v>mmg team_75</v>
      </c>
      <c r="EL2" t="str">
        <f ca="1">'divs nats data base'!$D$751</f>
        <v>25mm m1940 72-k_48</v>
      </c>
      <c r="EM2" t="str">
        <f ca="1">'divs nats data base'!$D$758</f>
        <v>25mm m1940 72-k_165</v>
      </c>
      <c r="EN2" t="str">
        <f ca="1">'divs nats data base'!$D$765</f>
        <v>jeep_16</v>
      </c>
      <c r="EO2" t="str">
        <f ca="1">'divs nats data base'!$D$768</f>
        <v>rifle squad_250</v>
      </c>
      <c r="EP2" t="str">
        <f ca="1">'divs nats data base'!$D$772</f>
        <v>mortar squad_209</v>
      </c>
      <c r="EQ2" t="str">
        <f ca="1">'divs nats data base'!$D$785</f>
        <v>experienced, _72</v>
      </c>
      <c r="ER2" t="str">
        <f ca="1">'divs nats data base'!$D$786</f>
        <v>mmg team_75</v>
      </c>
      <c r="ES2" t="str">
        <f ca="1">'divs nats data base'!$D$792</f>
        <v>25mm m1940 72-k_48</v>
      </c>
      <c r="ET2" t="str">
        <f ca="1">'divs nats data base'!$D$799</f>
        <v>25mm m1940 72-k_165</v>
      </c>
      <c r="EU2" t="str">
        <f ca="1">'divs nats data base'!$D$806</f>
        <v>jeep_16</v>
      </c>
      <c r="EV2" t="str">
        <f ca="1">'divs nats data base'!$D$812</f>
        <v>BT-7_175</v>
      </c>
      <c r="EW2" t="str">
        <f ca="1">'divs nats data base'!$D$814</f>
        <v>rifle squad_250</v>
      </c>
      <c r="EX2" t="str">
        <f ca="1">'divs nats data base'!$D$818</f>
        <v>mortar squad_209</v>
      </c>
      <c r="EY2" t="str">
        <f ca="1">'divs nats data base'!$D$831</f>
        <v>experienced, _72</v>
      </c>
      <c r="EZ2" t="str">
        <f ca="1">'divs nats data base'!$D$832</f>
        <v>experienced, _72</v>
      </c>
      <c r="FA2" t="str">
        <f ca="1">'divs nats data base'!$D$833</f>
        <v>conscript, _59</v>
      </c>
      <c r="FB2" t="str">
        <f ca="1">'divs nats data base'!$D$834</f>
        <v>mmg team_75</v>
      </c>
      <c r="FC2" t="str">
        <f ca="1">'divs nats data base'!$D$840</f>
        <v>rifle squad_250</v>
      </c>
      <c r="FD2" t="str">
        <f ca="1">'divs nats data base'!$D$844</f>
        <v>mortar squad_209</v>
      </c>
      <c r="FE2" t="str">
        <f ca="1">'divs nats data base'!$D$857</f>
        <v>experienced, _72</v>
      </c>
      <c r="FF2" t="str">
        <f ca="1">'divs nats data base'!$D$858</f>
        <v>experienced, _72</v>
      </c>
      <c r="FG2" t="str">
        <f ca="1">'divs nats data base'!$D$859</f>
        <v>conscript, _59</v>
      </c>
      <c r="FH2" t="str">
        <f ca="1">'divs nats data base'!$D$860</f>
        <v>mmg team_75</v>
      </c>
      <c r="FI2" t="str">
        <f ca="1">'divs nats data base'!$D$866</f>
        <v>25mm m1940 72-k_48</v>
      </c>
      <c r="FJ2" t="str">
        <f ca="1">'divs nats data base'!$D$873</f>
        <v>25mm m1940 72-k_165</v>
      </c>
      <c r="FK2" t="str">
        <f ca="1">'divs nats data base'!$D$880</f>
        <v>jeep_16</v>
      </c>
      <c r="FL2" t="str">
        <f ca="1">'divs nats data base'!$D$884</f>
        <v>BT-7_175</v>
      </c>
      <c r="FM2" t="str">
        <f ca="1">'divs nats data base'!$D$890</f>
        <v>BT-7_175</v>
      </c>
      <c r="FN2" t="str">
        <f ca="1">'divs nats data base'!$D$896</f>
        <v>BT-7_175</v>
      </c>
      <c r="FO2" t="str">
        <f ca="1">'divs nats data base'!$D$902</f>
        <v>rifle squad_250</v>
      </c>
      <c r="FP2" t="str">
        <f ca="1">'divs nats data base'!$D$906</f>
        <v>mortar squad_209</v>
      </c>
      <c r="FQ2" t="str">
        <f ca="1">'divs nats data base'!$D$919</f>
        <v>experienced, _72</v>
      </c>
      <c r="FR2" t="str">
        <f ca="1">'divs nats data base'!$D$920</f>
        <v>experienced, _72</v>
      </c>
      <c r="FS2" t="str">
        <f ca="1">'divs nats data base'!$D$921</f>
        <v>mmg team_75</v>
      </c>
      <c r="FT2" t="str">
        <f ca="1">'divs nats data base'!$D$927</f>
        <v>20mm type 2_48</v>
      </c>
      <c r="FU2" t="str">
        <f ca="1">'divs nats data base'!$D$930</f>
        <v>20mm type 2_152</v>
      </c>
      <c r="FV2" t="str">
        <f ca="1">'divs nats data base'!$D$933</f>
        <v>jeep_16</v>
      </c>
      <c r="FW2" t="str">
        <f ca="1">'divs nats data base'!$D$936</f>
        <v>rifle squad_250</v>
      </c>
      <c r="FX2" t="str">
        <f ca="1">'divs nats data base'!$D$940</f>
        <v>mortar squad_209</v>
      </c>
      <c r="FY2" t="str">
        <f ca="1">'divs nats data base'!$D$953</f>
        <v>experienced, _72</v>
      </c>
      <c r="FZ2" t="str">
        <f ca="1">'divs nats data base'!$D$954</f>
        <v>mmg team_75</v>
      </c>
      <c r="GA2" t="str">
        <f ca="1">'divs nats data base'!$D$960</f>
        <v>20mm type 2_48</v>
      </c>
      <c r="GB2" t="str">
        <f ca="1">'divs nats data base'!$D$963</f>
        <v>20mm type 2_152</v>
      </c>
      <c r="GC2" t="str">
        <f ca="1">'divs nats data base'!$D$966</f>
        <v>jeep_16</v>
      </c>
      <c r="GD2" t="str">
        <f ca="1">'divs nats data base'!$D$971</f>
        <v>Chi-ha_210</v>
      </c>
      <c r="GE2" t="str">
        <f ca="1">'divs nats data base'!$D$972</f>
        <v>rifle squad_250</v>
      </c>
      <c r="GF2" t="str">
        <f ca="1">'divs nats data base'!$D$976</f>
        <v>mortar squad_209</v>
      </c>
      <c r="GG2" t="str">
        <f ca="1">'divs nats data base'!$D$989</f>
        <v>experienced, _72</v>
      </c>
      <c r="GH2" t="str">
        <f ca="1">'divs nats data base'!$D$990</f>
        <v>experienced, _72</v>
      </c>
      <c r="GI2" t="str">
        <f ca="1">'divs nats data base'!$D$991</f>
        <v>conscript, _59</v>
      </c>
      <c r="GJ2" t="str">
        <f ca="1">'divs nats data base'!$D$992</f>
        <v>mmg team_75</v>
      </c>
      <c r="GK2" t="str">
        <f ca="1">'divs nats data base'!$D$998</f>
        <v>rifle squad_250</v>
      </c>
      <c r="GL2" t="str">
        <f ca="1">'divs nats data base'!$D$1002</f>
        <v>mortar squad_209</v>
      </c>
      <c r="GM2" t="str">
        <f ca="1">'divs nats data base'!$D$1015</f>
        <v>experienced, _72</v>
      </c>
      <c r="GN2" t="str">
        <f ca="1">'divs nats data base'!$D$1016</f>
        <v>experienced, _72</v>
      </c>
      <c r="GO2" t="str">
        <f ca="1">'divs nats data base'!$D$1017</f>
        <v>conscript, _59</v>
      </c>
      <c r="GP2" t="str">
        <f ca="1">'divs nats data base'!$D$1018</f>
        <v>mmg team_75</v>
      </c>
      <c r="GQ2" t="str">
        <f ca="1">'divs nats data base'!$D$1024</f>
        <v>20mm type 2_48</v>
      </c>
      <c r="GR2" t="str">
        <f ca="1">'divs nats data base'!$D$1027</f>
        <v>20mm type 2_152</v>
      </c>
      <c r="GS2" t="str">
        <f ca="1">'divs nats data base'!$D$1030</f>
        <v>jeep_16</v>
      </c>
      <c r="GT2" t="str">
        <f ca="1">'divs nats data base'!$D$1034</f>
        <v>Chi-ha_210</v>
      </c>
      <c r="GU2" t="str">
        <f ca="1">'divs nats data base'!$D$1035</f>
        <v>Chi-ha_210</v>
      </c>
      <c r="GV2" t="str">
        <f ca="1">'divs nats data base'!$D$1036</f>
        <v>Chi-ha_210</v>
      </c>
      <c r="GW2">
        <f>'divs nats data base'!$D$1037</f>
        <v>0</v>
      </c>
    </row>
    <row r="3" spans="1:205" x14ac:dyDescent="0.35">
      <c r="A3" t="str">
        <f ca="1">'divs nats data base'!$D$3</f>
        <v>assault squad_205</v>
      </c>
      <c r="B3" t="str">
        <f ca="1">'divs nats data base'!$D$7</f>
        <v>mortar x2 squad_261</v>
      </c>
      <c r="C3">
        <v>0</v>
      </c>
      <c r="D3">
        <v>0</v>
      </c>
      <c r="E3" t="str">
        <f ca="1">'divs nats data base'!$D$22</f>
        <v>hmg team_82</v>
      </c>
      <c r="F3" t="str">
        <f ca="1">'divs nats data base'!$D$28</f>
        <v>37mm M3_32</v>
      </c>
      <c r="G3" t="str">
        <f ca="1">'divs nats data base'!$D$32</f>
        <v>37mm M3_136</v>
      </c>
      <c r="H3" t="str">
        <f ca="1">'divs nats data base'!$D$36</f>
        <v>truck_34</v>
      </c>
      <c r="I3" t="str">
        <f ca="1">'divs nats data base'!$D$39</f>
        <v>M24 Chaffee_220</v>
      </c>
      <c r="J3" t="str">
        <f ca="1">'divs nats data base'!$D$42</f>
        <v>assault squad_205</v>
      </c>
      <c r="K3" t="str">
        <f ca="1">'divs nats data base'!$D$46</f>
        <v>mortar x2 squad_261</v>
      </c>
      <c r="L3" t="str">
        <f ca="1">'divs nats data base'!$D$59</f>
        <v>hmg team_82</v>
      </c>
      <c r="M3" t="str">
        <f ca="1">'divs nats data base'!$D$65</f>
        <v>37mm M3_32</v>
      </c>
      <c r="N3" t="str">
        <f ca="1">'divs nats data base'!$D$69</f>
        <v>37mm M3_136</v>
      </c>
      <c r="O3">
        <v>0</v>
      </c>
      <c r="P3" t="str">
        <f ca="1">'divs nats data base'!$D$78</f>
        <v>M24 Chaffee_220</v>
      </c>
      <c r="Q3" t="str">
        <f ca="1">'divs nats data base'!$D$81</f>
        <v>assault squad_205</v>
      </c>
      <c r="R3" t="str">
        <f ca="1">'divs nats data base'!$D$85</f>
        <v>mortar x2 squad_261</v>
      </c>
      <c r="S3">
        <v>0</v>
      </c>
      <c r="T3">
        <v>0</v>
      </c>
      <c r="U3">
        <v>0</v>
      </c>
      <c r="V3" t="str">
        <f ca="1">'divs nats data base'!$D$101</f>
        <v>hmg team_82</v>
      </c>
      <c r="W3" t="str">
        <f ca="1">'divs nats data base'!$D$107</f>
        <v>assault squad_205</v>
      </c>
      <c r="X3" t="str">
        <f ca="1">'divs nats data base'!$D$111</f>
        <v>mortar x2 squad_261</v>
      </c>
      <c r="Y3">
        <v>0</v>
      </c>
      <c r="Z3">
        <v>0</v>
      </c>
      <c r="AA3">
        <v>0</v>
      </c>
      <c r="AB3" t="str">
        <f ca="1">'divs nats data base'!$D$127</f>
        <v>hmg team_82</v>
      </c>
      <c r="AC3" t="str">
        <f ca="1">'divs nats data base'!$D$133</f>
        <v>37mm M3_32</v>
      </c>
      <c r="AD3" t="str">
        <f ca="1">'divs nats data base'!$D$137</f>
        <v>37mm M3_136</v>
      </c>
      <c r="AE3" t="str">
        <f ca="1">'divs nats data base'!$D$141</f>
        <v>truck_34</v>
      </c>
      <c r="AF3" t="str">
        <f ca="1">'divs nats data base'!$D$146</f>
        <v>M24 Chaffee_220</v>
      </c>
      <c r="AG3" t="str">
        <f ca="1">'divs nats data base'!$D$156</f>
        <v>M24 Chaffee_220</v>
      </c>
      <c r="AH3" t="str">
        <f ca="1">'divs nats data base'!$D$166</f>
        <v>M24 Chaffee_220</v>
      </c>
      <c r="AI3" t="str">
        <f ca="1">'divs nats data base'!$D$176</f>
        <v>assault squad_205</v>
      </c>
      <c r="AJ3" t="str">
        <f ca="1">'divs nats data base'!$D$180</f>
        <v>mortar x2 squad_261</v>
      </c>
      <c r="AK3">
        <v>0</v>
      </c>
      <c r="AL3">
        <v>0</v>
      </c>
      <c r="AM3" t="str">
        <f ca="1">'divs nats data base'!$D$195</f>
        <v>hmg team_82</v>
      </c>
      <c r="AN3" t="str">
        <f ca="1">'divs nats data base'!$D$201</f>
        <v>37mm pak 36_32</v>
      </c>
      <c r="AO3" t="str">
        <f ca="1">'divs nats data base'!$D$206</f>
        <v>37mm pak 36_136</v>
      </c>
      <c r="AP3" t="str">
        <f ca="1">'divs nats data base'!$D$211</f>
        <v>truck_34</v>
      </c>
      <c r="AQ3" t="str">
        <f ca="1">'divs nats data base'!$D$215</f>
        <v>assault squad_205</v>
      </c>
      <c r="AR3" t="str">
        <f ca="1">'divs nats data base'!$D$219</f>
        <v>mortar x2 squad_261</v>
      </c>
      <c r="AS3">
        <v>0</v>
      </c>
      <c r="AT3" t="str">
        <f ca="1">'divs nats data base'!$D$233</f>
        <v>hmg team_82</v>
      </c>
      <c r="AU3" t="str">
        <f ca="1">'divs nats data base'!$D$239</f>
        <v>37mm pak 36_32</v>
      </c>
      <c r="AV3" t="str">
        <f ca="1">'divs nats data base'!$D$244</f>
        <v>37mm pak 36_136</v>
      </c>
      <c r="AW3" t="str">
        <f ca="1">'divs nats data base'!$D$249</f>
        <v>truck_34</v>
      </c>
      <c r="AX3" t="str">
        <f ca="1">'divs nats data base'!$D$258</f>
        <v>Schwerer 234/2_180</v>
      </c>
      <c r="AY3" t="str">
        <f ca="1">'divs nats data base'!$D$263</f>
        <v>assault squad_205</v>
      </c>
      <c r="AZ3" t="str">
        <f ca="1">'divs nats data base'!$D$267</f>
        <v>mortar x2 squad_261</v>
      </c>
      <c r="BA3">
        <v>0</v>
      </c>
      <c r="BB3">
        <v>0</v>
      </c>
      <c r="BC3">
        <v>0</v>
      </c>
      <c r="BD3" t="str">
        <f ca="1">'divs nats data base'!$D$283</f>
        <v>hmg team_82</v>
      </c>
      <c r="BE3" t="str">
        <f ca="1">'divs nats data base'!$D$289</f>
        <v>assault squad_205</v>
      </c>
      <c r="BF3" t="str">
        <f ca="1">'divs nats data base'!$D$293</f>
        <v>mortar x2 squad_261</v>
      </c>
      <c r="BG3">
        <v>0</v>
      </c>
      <c r="BH3">
        <v>0</v>
      </c>
      <c r="BI3">
        <v>0</v>
      </c>
      <c r="BJ3" t="str">
        <f ca="1">'divs nats data base'!$D$309</f>
        <v>hmg team_82</v>
      </c>
      <c r="BK3" t="str">
        <f ca="1">'divs nats data base'!$D$315</f>
        <v>37mm pak 36_32</v>
      </c>
      <c r="BL3" t="str">
        <f ca="1">'divs nats data base'!$D$320</f>
        <v>37mm pak 36_136</v>
      </c>
      <c r="BM3" t="str">
        <f ca="1">'divs nats data base'!$D$325</f>
        <v>truck_34</v>
      </c>
      <c r="BN3" t="str">
        <f ca="1">'divs nats data base'!$D$329</f>
        <v>Schwerer 234/2_180</v>
      </c>
      <c r="BO3" t="str">
        <f ca="1">'divs nats data base'!$D$340</f>
        <v>Schwerer 234/2_180</v>
      </c>
      <c r="BP3" t="str">
        <f ca="1">'divs nats data base'!$D$351</f>
        <v>Schwerer 234/2_180</v>
      </c>
      <c r="BQ3" t="str">
        <f ca="1">'divs nats data base'!$D$362</f>
        <v>assault squad_205</v>
      </c>
      <c r="BR3" t="str">
        <f ca="1">'divs nats data base'!$D$366</f>
        <v>mortar x2 squad_261</v>
      </c>
      <c r="BS3">
        <v>0</v>
      </c>
      <c r="BT3">
        <v>0</v>
      </c>
      <c r="BU3" t="str">
        <f ca="1">'divs nats data base'!$D$381</f>
        <v>hmg team_82</v>
      </c>
      <c r="BV3" t="str">
        <f ca="1">'divs nats data base'!$D$387</f>
        <v>QF 2-pounder_42</v>
      </c>
      <c r="BW3" t="str">
        <f ca="1">'divs nats data base'!$D$391</f>
        <v>QF 2-pounder_146</v>
      </c>
      <c r="BX3" t="str">
        <f ca="1">'divs nats data base'!$D$395</f>
        <v>truck_34</v>
      </c>
      <c r="BY3" t="str">
        <f ca="1">'divs nats data base'!$D$398</f>
        <v>assault squad_205</v>
      </c>
      <c r="BZ3" t="str">
        <f ca="1">'divs nats data base'!$D$402</f>
        <v>mortar x2 squad_261</v>
      </c>
      <c r="CA3">
        <v>0</v>
      </c>
      <c r="CB3" t="str">
        <f ca="1">'divs nats data base'!$D$416</f>
        <v>hmg team_82</v>
      </c>
      <c r="CC3" t="str">
        <f ca="1">'divs nats data base'!$D$422</f>
        <v>QF 2-pounder_42</v>
      </c>
      <c r="CD3" t="str">
        <f ca="1">'divs nats data base'!$D$426</f>
        <v>QF 2-pounder_146</v>
      </c>
      <c r="CE3" t="str">
        <f ca="1">'divs nats data base'!$D$430</f>
        <v>truck_34</v>
      </c>
      <c r="CF3" t="str">
        <f ca="1">'divs nats data base'!$D$440</f>
        <v>Valentine MK.IX_285</v>
      </c>
      <c r="CG3" t="str">
        <f ca="1">'divs nats data base'!$D$445</f>
        <v>assault squad_205</v>
      </c>
      <c r="CH3" t="str">
        <f ca="1">'divs nats data base'!$D$449</f>
        <v>mortar x2 squad_261</v>
      </c>
      <c r="CI3">
        <v>0</v>
      </c>
      <c r="CJ3">
        <v>0</v>
      </c>
      <c r="CK3">
        <v>0</v>
      </c>
      <c r="CL3" t="str">
        <f ca="1">'divs nats data base'!$D$465</f>
        <v>hmg team_82</v>
      </c>
      <c r="CM3" t="str">
        <f ca="1">'divs nats data base'!$D$471</f>
        <v>assault squad_205</v>
      </c>
      <c r="CN3" t="str">
        <f ca="1">'divs nats data base'!$D$475</f>
        <v>mortar x2 squad_261</v>
      </c>
      <c r="CO3">
        <v>0</v>
      </c>
      <c r="CP3">
        <v>0</v>
      </c>
      <c r="CQ3">
        <v>0</v>
      </c>
      <c r="CR3" t="str">
        <f ca="1">'divs nats data base'!$D$491</f>
        <v>hmg team_82</v>
      </c>
      <c r="CS3" t="str">
        <f ca="1">'divs nats data base'!$D$497</f>
        <v>QF 2-pounder_42</v>
      </c>
      <c r="CT3" t="str">
        <f ca="1">'divs nats data base'!$D$501</f>
        <v>QF 2-pounder_146</v>
      </c>
      <c r="CU3" t="str">
        <f ca="1">'divs nats data base'!$D$505</f>
        <v>truck_34</v>
      </c>
      <c r="CV3" s="200" t="str">
        <f ca="1">'divs nats data base'!$D$510</f>
        <v>Valentine MK.IX_285</v>
      </c>
      <c r="CW3" s="200" t="str">
        <f ca="1">'divs nats data base'!$D$522</f>
        <v>Valentine MK.IX_285</v>
      </c>
      <c r="CX3" t="str">
        <f ca="1">'divs nats data base'!$D$534</f>
        <v>Valentine MK.IX_285</v>
      </c>
      <c r="CY3" t="str">
        <f ca="1">'divs nats data base'!$D$546</f>
        <v>assault squad_205</v>
      </c>
      <c r="CZ3" t="str">
        <f ca="1">'divs nats data base'!$D$550</f>
        <v>mortar x2 squad_261</v>
      </c>
      <c r="DA3">
        <v>0</v>
      </c>
      <c r="DB3">
        <v>0</v>
      </c>
      <c r="DC3" t="str">
        <f ca="1">'divs nats data base'!$D$565</f>
        <v>hmg team_82</v>
      </c>
      <c r="DD3" t="str">
        <f ca="1">'divs nats data base'!$D$571</f>
        <v>37mm bofors_32</v>
      </c>
      <c r="DE3" t="str">
        <f ca="1">'divs nats data base'!$D$577</f>
        <v>37mm bofors_136</v>
      </c>
      <c r="DF3" t="str">
        <f ca="1">'divs nats data base'!$D$583</f>
        <v>truck_34</v>
      </c>
      <c r="DG3" t="str">
        <f ca="1">'divs nats data base'!$D$586</f>
        <v>assault squad_205</v>
      </c>
      <c r="DH3" t="str">
        <f ca="1">'divs nats data base'!$D$590</f>
        <v>mortar x2 squad_261</v>
      </c>
      <c r="DI3">
        <v>0</v>
      </c>
      <c r="DJ3" t="str">
        <f ca="1">'divs nats data base'!$D$604</f>
        <v>hmg team_82</v>
      </c>
      <c r="DK3" t="str">
        <f ca="1">'divs nats data base'!$D$610</f>
        <v>37mm bofors_32</v>
      </c>
      <c r="DL3" t="str">
        <f ca="1">'divs nats data base'!$D$616</f>
        <v>37mm bofors_136</v>
      </c>
      <c r="DM3" t="str">
        <f ca="1">'divs nats data base'!$D$622</f>
        <v>truck_34</v>
      </c>
      <c r="DN3" t="str">
        <f ca="1">'divs nats data base'!$D$629</f>
        <v>BT-42 HOW_265</v>
      </c>
      <c r="DO3" t="str">
        <f ca="1">'divs nats data base'!$D$632</f>
        <v>assault squad_205</v>
      </c>
      <c r="DP3" t="str">
        <f ca="1">'divs nats data base'!$D$636</f>
        <v>mortar x2 squad_261</v>
      </c>
      <c r="DQ3">
        <v>0</v>
      </c>
      <c r="DR3">
        <v>0</v>
      </c>
      <c r="DS3">
        <v>0</v>
      </c>
      <c r="DT3" t="str">
        <f ca="1">'divs nats data base'!$D$652</f>
        <v>hmg team_82</v>
      </c>
      <c r="DU3" t="str">
        <f ca="1">'divs nats data base'!$D$658</f>
        <v>assault squad_205</v>
      </c>
      <c r="DV3" t="str">
        <f ca="1">'divs nats data base'!$D$662</f>
        <v>mortar x2 squad_261</v>
      </c>
      <c r="DW3">
        <v>0</v>
      </c>
      <c r="DX3">
        <v>0</v>
      </c>
      <c r="DY3">
        <v>0</v>
      </c>
      <c r="DZ3" t="str">
        <f ca="1">'divs nats data base'!$D$678</f>
        <v>hmg team_82</v>
      </c>
      <c r="EA3" t="str">
        <f ca="1">'divs nats data base'!$D$684</f>
        <v>37mm bofors_32</v>
      </c>
      <c r="EB3" t="str">
        <f ca="1">'divs nats data base'!$D$690</f>
        <v>37mm bofors_136</v>
      </c>
      <c r="EC3" t="str">
        <f ca="1">'divs nats data base'!$D$696</f>
        <v>truck_34</v>
      </c>
      <c r="ED3" t="str">
        <f ca="1">'divs nats data base'!$D$700</f>
        <v>BT-42 HOW_265</v>
      </c>
      <c r="EE3" t="str">
        <f ca="1">'divs nats data base'!$D$709</f>
        <v>BT-42 HOW_265</v>
      </c>
      <c r="EF3" t="str">
        <f ca="1">'divs nats data base'!$D$718</f>
        <v>BT-42 HOW_265</v>
      </c>
      <c r="EG3" t="str">
        <f ca="1">'divs nats data base'!$D$727</f>
        <v>assault squad_205</v>
      </c>
      <c r="EH3" t="str">
        <f ca="1">'divs nats data base'!$D$731</f>
        <v>mortar x2 squad_261</v>
      </c>
      <c r="EI3">
        <v>0</v>
      </c>
      <c r="EJ3">
        <v>0</v>
      </c>
      <c r="EK3" t="str">
        <f ca="1">'divs nats data base'!$D$746</f>
        <v>hmg team_82</v>
      </c>
      <c r="EL3" t="str">
        <f ca="1">'divs nats data base'!$D$752</f>
        <v>37mm M1930 1-k_32</v>
      </c>
      <c r="EM3" t="str">
        <f ca="1">'divs nats data base'!$D$759</f>
        <v>37mm M1930 1-k_136</v>
      </c>
      <c r="EN3" t="str">
        <f ca="1">'divs nats data base'!$D$766</f>
        <v>truck_34</v>
      </c>
      <c r="EO3" t="str">
        <f ca="1">'divs nats data base'!$D$769</f>
        <v>assault squad_205</v>
      </c>
      <c r="EP3" t="str">
        <f ca="1">'divs nats data base'!$D$773</f>
        <v>mortar x2 squad_261</v>
      </c>
      <c r="EQ3">
        <v>0</v>
      </c>
      <c r="ER3" t="str">
        <f ca="1">'divs nats data base'!$D$787</f>
        <v>hmg team_82</v>
      </c>
      <c r="ES3" t="str">
        <f ca="1">'divs nats data base'!$D$793</f>
        <v>37mm M1930 1-k_32</v>
      </c>
      <c r="ET3" t="str">
        <f ca="1">'divs nats data base'!$D$800</f>
        <v>37mm M1930 1-k_136</v>
      </c>
      <c r="EU3" t="str">
        <f ca="1">'divs nats data base'!$D$807</f>
        <v>truck_34</v>
      </c>
      <c r="EV3" t="str">
        <f ca="1">'divs nats data base'!$D$813</f>
        <v>BT-42 HOW_265</v>
      </c>
      <c r="EW3" t="str">
        <f ca="1">'divs nats data base'!$D$815</f>
        <v>assault squad_205</v>
      </c>
      <c r="EX3" t="str">
        <f ca="1">'divs nats data base'!$D$819</f>
        <v>mortar x2 squad_261</v>
      </c>
      <c r="EY3">
        <v>0</v>
      </c>
      <c r="EZ3">
        <v>0</v>
      </c>
      <c r="FA3">
        <v>0</v>
      </c>
      <c r="FB3" t="str">
        <f ca="1">'divs nats data base'!$D$835</f>
        <v>hmg team_82</v>
      </c>
      <c r="FC3" t="str">
        <f ca="1">'divs nats data base'!$D$841</f>
        <v>assault squad_205</v>
      </c>
      <c r="FD3" t="str">
        <f ca="1">'divs nats data base'!$D$845</f>
        <v>mortar x2 squad_261</v>
      </c>
      <c r="FE3">
        <v>0</v>
      </c>
      <c r="FF3">
        <v>0</v>
      </c>
      <c r="FG3">
        <v>0</v>
      </c>
      <c r="FH3" t="str">
        <f ca="1">'divs nats data base'!$D$861</f>
        <v>hmg team_82</v>
      </c>
      <c r="FI3" t="str">
        <f ca="1">'divs nats data base'!$D$867</f>
        <v>37mm M1930 1-k_32</v>
      </c>
      <c r="FJ3" t="str">
        <f ca="1">'divs nats data base'!$D$874</f>
        <v>37mm M1930 1-k_136</v>
      </c>
      <c r="FK3" t="str">
        <f ca="1">'divs nats data base'!$D$881</f>
        <v>truck_34</v>
      </c>
      <c r="FL3" t="str">
        <f ca="1">'divs nats data base'!$D$885</f>
        <v>BT-42 HOW_265</v>
      </c>
      <c r="FM3" t="str">
        <f ca="1">'divs nats data base'!$D$891</f>
        <v>BT-42 HOW_265</v>
      </c>
      <c r="FN3" t="str">
        <f ca="1">'divs nats data base'!$D$897</f>
        <v>BT-42 HOW_265</v>
      </c>
      <c r="FO3" t="str">
        <f ca="1">'divs nats data base'!$D$903</f>
        <v>assault squad_205</v>
      </c>
      <c r="FP3" t="str">
        <f ca="1">'divs nats data base'!$D$907</f>
        <v>mortar x2 squad_261</v>
      </c>
      <c r="FQ3">
        <v>0</v>
      </c>
      <c r="FR3">
        <v>0</v>
      </c>
      <c r="FS3" t="str">
        <f ca="1">'divs nats data base'!$D$922</f>
        <v>hmg team_82</v>
      </c>
      <c r="FT3" t="str">
        <f ca="1">'divs nats data base'!$D$928</f>
        <v>37mm type 94_32</v>
      </c>
      <c r="FU3" t="str">
        <f ca="1">'divs nats data base'!$D$931</f>
        <v>37mm type 94_136</v>
      </c>
      <c r="FV3" t="str">
        <f ca="1">'divs nats data base'!$D$934</f>
        <v>truck_34</v>
      </c>
      <c r="FW3" t="str">
        <f ca="1">'divs nats data base'!$D$937</f>
        <v>assault squad_205</v>
      </c>
      <c r="FX3" t="str">
        <f ca="1">'divs nats data base'!$D$941</f>
        <v>mortar x2 squad_261</v>
      </c>
      <c r="FY3">
        <v>0</v>
      </c>
      <c r="FZ3" t="str">
        <f ca="1">'divs nats data base'!$D$955</f>
        <v>hmg team_82</v>
      </c>
      <c r="GA3" t="str">
        <f ca="1">'divs nats data base'!$D$961</f>
        <v>37mm type 94_32</v>
      </c>
      <c r="GB3" t="str">
        <f ca="1">'divs nats data base'!$D$964</f>
        <v>37mm type 94_136</v>
      </c>
      <c r="GC3" t="str">
        <f ca="1">'divs nats data base'!$D$967</f>
        <v>truck_34</v>
      </c>
      <c r="GD3">
        <v>0</v>
      </c>
      <c r="GE3" t="str">
        <f ca="1">'divs nats data base'!$D$973</f>
        <v>assault squad_205</v>
      </c>
      <c r="GF3" t="str">
        <f ca="1">'divs nats data base'!$D$977</f>
        <v>mortar x2 squad_261</v>
      </c>
      <c r="GG3">
        <v>0</v>
      </c>
      <c r="GH3">
        <v>0</v>
      </c>
      <c r="GI3">
        <v>0</v>
      </c>
      <c r="GJ3" t="str">
        <f ca="1">'divs nats data base'!$D$993</f>
        <v>hmg team_82</v>
      </c>
      <c r="GK3" t="str">
        <f ca="1">'divs nats data base'!$D$999</f>
        <v>assault squad_205</v>
      </c>
      <c r="GL3" t="str">
        <f ca="1">'divs nats data base'!$D$1003</f>
        <v>mortar x2 squad_261</v>
      </c>
      <c r="GM3">
        <v>0</v>
      </c>
      <c r="GN3">
        <v>0</v>
      </c>
      <c r="GO3">
        <v>0</v>
      </c>
      <c r="GP3" t="str">
        <f ca="1">'divs nats data base'!$D$1019</f>
        <v>hmg team_82</v>
      </c>
      <c r="GQ3" t="str">
        <f ca="1">'divs nats data base'!$D$1025</f>
        <v>37mm type 94_32</v>
      </c>
      <c r="GR3" t="str">
        <f ca="1">'divs nats data base'!$D$1028</f>
        <v>37mm type 94_136</v>
      </c>
      <c r="GS3" t="str">
        <f ca="1">'divs nats data base'!$D$1031</f>
        <v>truck_34</v>
      </c>
      <c r="GT3">
        <v>0</v>
      </c>
      <c r="GU3">
        <v>0</v>
      </c>
      <c r="GV3">
        <v>0</v>
      </c>
      <c r="GW3">
        <f>'divs nats data base'!$D$1038</f>
        <v>0</v>
      </c>
    </row>
    <row r="4" spans="1:205" x14ac:dyDescent="0.35">
      <c r="A4" t="str">
        <f ca="1">'divs nats data base'!$D$4</f>
        <v>gun squad_243</v>
      </c>
      <c r="B4" t="str">
        <f ca="1">'divs nats data base'!$D$8</f>
        <v>MPAT squad_179</v>
      </c>
      <c r="E4" t="str">
        <f ca="1">'divs nats data base'!$D$23</f>
        <v>sniper_60</v>
      </c>
      <c r="F4" t="str">
        <f ca="1">'divs nats data base'!$D$29</f>
        <v>57mm M1_54</v>
      </c>
      <c r="G4" t="str">
        <f ca="1">'divs nats data base'!$D$33</f>
        <v>57mm M1_171</v>
      </c>
      <c r="H4" t="str">
        <f ca="1">'divs nats data base'!$D$37</f>
        <v>armoured car_95</v>
      </c>
      <c r="I4" t="str">
        <f ca="1">'divs nats data base'!$D$40</f>
        <v>M3 Stuart_210</v>
      </c>
      <c r="J4" t="str">
        <f ca="1">'divs nats data base'!$D$43</f>
        <v>gun squad_243</v>
      </c>
      <c r="K4" t="str">
        <f ca="1">'divs nats data base'!$D$47</f>
        <v>MPAT squad_179</v>
      </c>
      <c r="L4" t="str">
        <f ca="1">'divs nats data base'!$D$60</f>
        <v>sniper_60</v>
      </c>
      <c r="M4" t="str">
        <f ca="1">'divs nats data base'!$D$66</f>
        <v>57mm M1_54</v>
      </c>
      <c r="N4" t="str">
        <f ca="1">'divs nats data base'!$D$70</f>
        <v>57mm M1_171</v>
      </c>
      <c r="P4" t="str">
        <f ca="1">'divs nats data base'!$D$79</f>
        <v>M3 Stuart_210</v>
      </c>
      <c r="Q4" t="str">
        <f ca="1">'divs nats data base'!$D$82</f>
        <v>gun squad_243</v>
      </c>
      <c r="R4" t="str">
        <f ca="1">'divs nats data base'!$D$86</f>
        <v>MPAT squad_179</v>
      </c>
      <c r="V4" t="str">
        <f ca="1">'divs nats data base'!$D$102</f>
        <v>sniper_60</v>
      </c>
      <c r="W4" t="str">
        <f ca="1">'divs nats data base'!$D$108</f>
        <v>gun squad_243</v>
      </c>
      <c r="X4" t="str">
        <f ca="1">'divs nats data base'!$D$112</f>
        <v>MPAT squad_179</v>
      </c>
      <c r="AB4" t="str">
        <f ca="1">'divs nats data base'!$D$128</f>
        <v>sniper_60</v>
      </c>
      <c r="AC4" t="str">
        <f ca="1">'divs nats data base'!$D$134</f>
        <v>57mm M1_54</v>
      </c>
      <c r="AD4" t="str">
        <f ca="1">'divs nats data base'!$D$138</f>
        <v>57mm M1_171</v>
      </c>
      <c r="AE4" t="str">
        <f ca="1">'divs nats data base'!$D$142</f>
        <v>bren gun carrier_70</v>
      </c>
      <c r="AF4" t="str">
        <f ca="1">'divs nats data base'!$D$147</f>
        <v>M3 Stuart_210</v>
      </c>
      <c r="AG4" t="str">
        <f ca="1">'divs nats data base'!$D$157</f>
        <v>M3 Stuart_210</v>
      </c>
      <c r="AH4" t="str">
        <f ca="1">'divs nats data base'!$D$167</f>
        <v>M3 Stuart_210</v>
      </c>
      <c r="AI4" t="str">
        <f ca="1">'divs nats data base'!$D$177</f>
        <v>gun squad_243</v>
      </c>
      <c r="AJ4" t="str">
        <f ca="1">'divs nats data base'!$D$181</f>
        <v>MPAT squad_179</v>
      </c>
      <c r="AM4" t="str">
        <f ca="1">'divs nats data base'!$D$196</f>
        <v>sniper_60</v>
      </c>
      <c r="AN4" t="str">
        <f ca="1">'divs nats data base'!$D$202</f>
        <v>50mm pak 38_42</v>
      </c>
      <c r="AO4" t="str">
        <f ca="1">'divs nats data base'!$D$207</f>
        <v>50mm pak 38_146</v>
      </c>
      <c r="AP4" t="str">
        <f ca="1">'divs nats data base'!$D$212</f>
        <v>bren gun carrier_70</v>
      </c>
      <c r="AQ4" t="str">
        <f ca="1">'divs nats data base'!$D$216</f>
        <v>gun squad_243</v>
      </c>
      <c r="AR4" t="str">
        <f ca="1">'divs nats data base'!$D$220</f>
        <v>MPAT squad_179</v>
      </c>
      <c r="AT4" t="str">
        <f ca="1">'divs nats data base'!$D$234</f>
        <v>sniper_60</v>
      </c>
      <c r="AU4" t="str">
        <f ca="1">'divs nats data base'!$D$240</f>
        <v>50mm pak 38_42</v>
      </c>
      <c r="AV4" t="str">
        <f ca="1">'divs nats data base'!$D$245</f>
        <v>50mm pak 38_146</v>
      </c>
      <c r="AW4" t="str">
        <f ca="1">'divs nats data base'!$D$250</f>
        <v>armoured car_95</v>
      </c>
      <c r="AX4" t="str">
        <f ca="1">'divs nats data base'!$D$259</f>
        <v>Schwerer 234/3 HOW_205</v>
      </c>
      <c r="AY4" t="str">
        <f ca="1">'divs nats data base'!$D$264</f>
        <v>gun squad_243</v>
      </c>
      <c r="AZ4" t="str">
        <f ca="1">'divs nats data base'!$D$268</f>
        <v>MPAT squad_179</v>
      </c>
      <c r="BD4" t="str">
        <f ca="1">'divs nats data base'!$D$284</f>
        <v>sniper_60</v>
      </c>
      <c r="BE4" t="str">
        <f ca="1">'divs nats data base'!$D$290</f>
        <v>gun squad_243</v>
      </c>
      <c r="BF4" t="str">
        <f ca="1">'divs nats data base'!$D$294</f>
        <v>MPAT squad_179</v>
      </c>
      <c r="BJ4" t="str">
        <f ca="1">'divs nats data base'!$D$310</f>
        <v>sniper_60</v>
      </c>
      <c r="BK4" t="str">
        <f ca="1">'divs nats data base'!$D$316</f>
        <v>50mm pak 38_42</v>
      </c>
      <c r="BL4" t="str">
        <f ca="1">'divs nats data base'!$D$321</f>
        <v>50mm pak 38_146</v>
      </c>
      <c r="BM4" t="str">
        <f ca="1">'divs nats data base'!$D$326</f>
        <v>armoured car_95</v>
      </c>
      <c r="BN4" t="str">
        <f ca="1">'divs nats data base'!$D$330</f>
        <v>Schwerer 234/3 HOW_205</v>
      </c>
      <c r="BO4" t="str">
        <f ca="1">'divs nats data base'!$D$341</f>
        <v>Schwerer 234/3 HOW_205</v>
      </c>
      <c r="BP4" t="str">
        <f ca="1">'divs nats data base'!$D$352</f>
        <v>Schwerer 234/3 HOW_205</v>
      </c>
      <c r="BQ4" t="str">
        <f ca="1">'divs nats data base'!$D$363</f>
        <v>gun squad_243</v>
      </c>
      <c r="BR4" t="str">
        <f ca="1">'divs nats data base'!$D$367</f>
        <v>MPAT squad_179</v>
      </c>
      <c r="BU4" t="str">
        <f ca="1">'divs nats data base'!$D$382</f>
        <v>sniper_60</v>
      </c>
      <c r="BV4" t="str">
        <f ca="1">'divs nats data base'!$D$388</f>
        <v>QF 6 pounder_68</v>
      </c>
      <c r="BW4" t="str">
        <f ca="1">'divs nats data base'!$D$392</f>
        <v>QF 6 pounder_185</v>
      </c>
      <c r="BX4" t="str">
        <f ca="1">'divs nats data base'!$D$396</f>
        <v>armoured car_95</v>
      </c>
      <c r="BY4" t="str">
        <f ca="1">'divs nats data base'!$D$399</f>
        <v>gun squad_243</v>
      </c>
      <c r="BZ4" t="str">
        <f ca="1">'divs nats data base'!$D$403</f>
        <v>MPAT squad_179</v>
      </c>
      <c r="CB4" t="str">
        <f ca="1">'divs nats data base'!$D$417</f>
        <v>sniper_60</v>
      </c>
      <c r="CC4" t="str">
        <f ca="1">'divs nats data base'!$D$423</f>
        <v>QF 6 pounder_68</v>
      </c>
      <c r="CD4" t="str">
        <f ca="1">'divs nats data base'!$D$427</f>
        <v>QF 6 pounder_185</v>
      </c>
      <c r="CE4" t="str">
        <f ca="1">'divs nats data base'!$D$431</f>
        <v>bren gun carrier_70</v>
      </c>
      <c r="CF4" t="str">
        <f ca="1">'divs nats data base'!$D$441</f>
        <v>Humber AC_150</v>
      </c>
      <c r="CG4" t="str">
        <f ca="1">'divs nats data base'!$D$446</f>
        <v>gun squad_243</v>
      </c>
      <c r="CH4" t="str">
        <f ca="1">'divs nats data base'!$D$450</f>
        <v>MPAT squad_179</v>
      </c>
      <c r="CL4" t="str">
        <f ca="1">'divs nats data base'!$D$466</f>
        <v>sniper_60</v>
      </c>
      <c r="CM4" t="str">
        <f ca="1">'divs nats data base'!$D$472</f>
        <v>gun squad_243</v>
      </c>
      <c r="CN4" t="str">
        <f ca="1">'divs nats data base'!$D$476</f>
        <v>MPAT squad_179</v>
      </c>
      <c r="CR4" t="str">
        <f ca="1">'divs nats data base'!$D$492</f>
        <v>sniper_60</v>
      </c>
      <c r="CS4" t="str">
        <f ca="1">'divs nats data base'!$D$498</f>
        <v>QF 6 pounder_68</v>
      </c>
      <c r="CT4" t="str">
        <f ca="1">'divs nats data base'!$D$502</f>
        <v>QF 6 pounder_185</v>
      </c>
      <c r="CU4" t="str">
        <f ca="1">'divs nats data base'!$D$506</f>
        <v>bren gun carrier_70</v>
      </c>
      <c r="CV4" s="200" t="str">
        <f ca="1">'divs nats data base'!$D$511</f>
        <v>Humber AC_150</v>
      </c>
      <c r="CW4" s="200" t="str">
        <f ca="1">'divs nats data base'!$D$523</f>
        <v>Humber AC_150</v>
      </c>
      <c r="CX4" t="str">
        <f ca="1">'divs nats data base'!$D$535</f>
        <v>Humber AC_150</v>
      </c>
      <c r="CY4" t="str">
        <f ca="1">'divs nats data base'!$D$547</f>
        <v>gun squad_243</v>
      </c>
      <c r="CZ4" t="str">
        <f ca="1">'divs nats data base'!$D$551</f>
        <v>MPAT squad_179</v>
      </c>
      <c r="DC4" t="str">
        <f ca="1">'divs nats data base'!$D$566</f>
        <v>sniper_60</v>
      </c>
      <c r="DD4" t="str">
        <f ca="1">'divs nats data base'!$D$572</f>
        <v>45mm m1932_42</v>
      </c>
      <c r="DE4" t="str">
        <f ca="1">'divs nats data base'!$D$578</f>
        <v>45mm m1932_146</v>
      </c>
      <c r="DF4" t="str">
        <f ca="1">'divs nats data base'!$D$584</f>
        <v>armoured car_95</v>
      </c>
      <c r="DG4" t="str">
        <f ca="1">'divs nats data base'!$D$587</f>
        <v>gun squad_243</v>
      </c>
      <c r="DH4" t="str">
        <f ca="1">'divs nats data base'!$D$591</f>
        <v>MPAT squad_179</v>
      </c>
      <c r="DJ4" t="str">
        <f ca="1">'divs nats data base'!$D$605</f>
        <v>sniper_60</v>
      </c>
      <c r="DK4" t="str">
        <f ca="1">'divs nats data base'!$D$611</f>
        <v>45mm m1932_42</v>
      </c>
      <c r="DL4" t="str">
        <f ca="1">'divs nats data base'!$D$617</f>
        <v>45mm m1932_146</v>
      </c>
      <c r="DM4" t="str">
        <f ca="1">'divs nats data base'!$D$623</f>
        <v>armoured car_95</v>
      </c>
      <c r="DN4" t="str">
        <f ca="1">'divs nats data base'!$D$630</f>
        <v>Panzer III J_275</v>
      </c>
      <c r="DO4" t="str">
        <f ca="1">'divs nats data base'!$D$633</f>
        <v>gun squad_243</v>
      </c>
      <c r="DP4" t="str">
        <f ca="1">'divs nats data base'!$D$637</f>
        <v>MPAT squad_179</v>
      </c>
      <c r="DT4" t="str">
        <f ca="1">'divs nats data base'!$D$653</f>
        <v>sniper_60</v>
      </c>
      <c r="DU4" t="str">
        <f ca="1">'divs nats data base'!$D$659</f>
        <v>gun squad_243</v>
      </c>
      <c r="DV4" t="str">
        <f ca="1">'divs nats data base'!$D$663</f>
        <v>MPAT squad_179</v>
      </c>
      <c r="DZ4" t="str">
        <f ca="1">'divs nats data base'!$D$679</f>
        <v>sniper_60</v>
      </c>
      <c r="EA4" t="str">
        <f ca="1">'divs nats data base'!$D$685</f>
        <v>45mm m1932_42</v>
      </c>
      <c r="EB4" t="str">
        <f ca="1">'divs nats data base'!$D$691</f>
        <v>45mm m1932_146</v>
      </c>
      <c r="EC4" t="str">
        <f ca="1">'divs nats data base'!$D$697</f>
        <v>armoured car_95</v>
      </c>
      <c r="ED4" t="str">
        <f ca="1">'divs nats data base'!$D$701</f>
        <v>Panzer III J_275</v>
      </c>
      <c r="EE4" t="str">
        <f ca="1">'divs nats data base'!$D$710</f>
        <v>Panzer III J_275</v>
      </c>
      <c r="EF4" t="str">
        <f ca="1">'divs nats data base'!$D$719</f>
        <v>Panzer III J_275</v>
      </c>
      <c r="EG4" t="str">
        <f ca="1">'divs nats data base'!$D$728</f>
        <v>gun squad_243</v>
      </c>
      <c r="EH4" t="str">
        <f ca="1">'divs nats data base'!$D$732</f>
        <v>MPAT squad_179</v>
      </c>
      <c r="EK4" t="str">
        <f ca="1">'divs nats data base'!$D$747</f>
        <v>sniper_60</v>
      </c>
      <c r="EL4" t="str">
        <f ca="1">'divs nats data base'!$D$753</f>
        <v>45mm M1932_42</v>
      </c>
      <c r="EM4" t="str">
        <f ca="1">'divs nats data base'!$D$760</f>
        <v>45mm M1932_146</v>
      </c>
      <c r="EN4" t="str">
        <f ca="1">'divs nats data base'!$D$767</f>
        <v>armoured car_95</v>
      </c>
      <c r="EO4" t="str">
        <f ca="1">'divs nats data base'!$D$770</f>
        <v>gun squad_243</v>
      </c>
      <c r="EP4" t="str">
        <f ca="1">'divs nats data base'!$D$774</f>
        <v>MPAT squad_179</v>
      </c>
      <c r="ER4" t="str">
        <f ca="1">'divs nats data base'!$D$788</f>
        <v>sniper_60</v>
      </c>
      <c r="ES4" t="str">
        <f ca="1">'divs nats data base'!$D$794</f>
        <v>45mm M1932_42</v>
      </c>
      <c r="ET4" t="str">
        <f ca="1">'divs nats data base'!$D$801</f>
        <v>45mm M1932_146</v>
      </c>
      <c r="EU4" t="str">
        <f ca="1">'divs nats data base'!$D$808</f>
        <v>armoured car_95</v>
      </c>
      <c r="EV4">
        <v>0</v>
      </c>
      <c r="EW4" t="str">
        <f ca="1">'divs nats data base'!$D$816</f>
        <v>gun squad_243</v>
      </c>
      <c r="EX4" t="str">
        <f ca="1">'divs nats data base'!$D$820</f>
        <v>MPAT squad_179</v>
      </c>
      <c r="FB4" t="str">
        <f ca="1">'divs nats data base'!$D$836</f>
        <v>sniper_60</v>
      </c>
      <c r="FC4" t="str">
        <f ca="1">'divs nats data base'!$D$842</f>
        <v>gun squad_243</v>
      </c>
      <c r="FD4" t="str">
        <f ca="1">'divs nats data base'!$D$846</f>
        <v>MPAT squad_179</v>
      </c>
      <c r="FH4" t="str">
        <f ca="1">'divs nats data base'!$D$862</f>
        <v>sniper_60</v>
      </c>
      <c r="FI4" t="str">
        <f ca="1">'divs nats data base'!$D$868</f>
        <v>45mm M1932_42</v>
      </c>
      <c r="FJ4" t="str">
        <f ca="1">'divs nats data base'!$D$875</f>
        <v>45mm M1932_146</v>
      </c>
      <c r="FK4" t="str">
        <f ca="1">'divs nats data base'!$D$882</f>
        <v>armoured car_95</v>
      </c>
      <c r="FL4" t="str">
        <f ca="1">'divs nats data base'!$D$886</f>
        <v>T34-85_305</v>
      </c>
      <c r="FM4" t="str">
        <f ca="1">'divs nats data base'!$D$892</f>
        <v>T34-85_305</v>
      </c>
      <c r="FN4" t="str">
        <f ca="1">'divs nats data base'!$D$898</f>
        <v>T34_275</v>
      </c>
      <c r="FO4" t="str">
        <f ca="1">'divs nats data base'!$D$904</f>
        <v>gun squad_243</v>
      </c>
      <c r="FP4" t="str">
        <f ca="1">'divs nats data base'!$D$908</f>
        <v>MPAT squad_179</v>
      </c>
      <c r="FS4" t="str">
        <f ca="1">'divs nats data base'!$D$923</f>
        <v>sniper_60</v>
      </c>
      <c r="FT4" t="str">
        <f ca="1">'divs nats data base'!$D$929</f>
        <v>75mm type 88_84</v>
      </c>
      <c r="FU4" t="str">
        <f ca="1">'divs nats data base'!$D$932</f>
        <v>75mm type 88_201</v>
      </c>
      <c r="FV4" t="str">
        <f ca="1">'divs nats data base'!$D$935</f>
        <v>armoured car_95</v>
      </c>
      <c r="FW4" t="str">
        <f ca="1">'divs nats data base'!$D$938</f>
        <v>gun squad_243</v>
      </c>
      <c r="FX4" t="str">
        <f ca="1">'divs nats data base'!$D$942</f>
        <v>MPAT squad_179</v>
      </c>
      <c r="FZ4" t="str">
        <f ca="1">'divs nats data base'!$D$956</f>
        <v>sniper_60</v>
      </c>
      <c r="GA4" t="str">
        <f ca="1">'divs nats data base'!$D$962</f>
        <v>75mm type 88_84</v>
      </c>
      <c r="GB4" t="str">
        <f ca="1">'divs nats data base'!$D$965</f>
        <v>75mm type 88_201</v>
      </c>
      <c r="GC4" t="str">
        <f ca="1">'divs nats data base'!$D$968</f>
        <v>armoured car_95</v>
      </c>
      <c r="GE4" t="str">
        <f ca="1">'divs nats data base'!$D$974</f>
        <v>gun squad_243</v>
      </c>
      <c r="GF4" t="str">
        <f ca="1">'divs nats data base'!$D$978</f>
        <v>MPAT squad_179</v>
      </c>
      <c r="GJ4" t="str">
        <f ca="1">'divs nats data base'!$D$994</f>
        <v>sniper_60</v>
      </c>
      <c r="GK4" t="str">
        <f ca="1">'divs nats data base'!$D$1000</f>
        <v>gun squad_243</v>
      </c>
      <c r="GL4" t="str">
        <f ca="1">'divs nats data base'!$D$1004</f>
        <v>MPAT squad_179</v>
      </c>
      <c r="GP4" t="str">
        <f ca="1">'divs nats data base'!$D$1020</f>
        <v>sniper_60</v>
      </c>
      <c r="GQ4" t="str">
        <f ca="1">'divs nats data base'!$D$1026</f>
        <v>75mm type 88_84</v>
      </c>
      <c r="GR4" t="str">
        <f ca="1">'divs nats data base'!$D$1029</f>
        <v>75mm type 88_201</v>
      </c>
      <c r="GS4" t="str">
        <f ca="1">'divs nats data base'!$D$1032</f>
        <v>bren gun carrier_70</v>
      </c>
      <c r="GW4">
        <f>'divs nats data base'!$D$1039</f>
        <v>0</v>
      </c>
    </row>
    <row r="5" spans="1:205" x14ac:dyDescent="0.35">
      <c r="A5" t="str">
        <f ca="1">'divs nats data base'!$D$5</f>
        <v>recon squad_171</v>
      </c>
      <c r="B5" t="str">
        <f ca="1">'divs nats data base'!$D$9</f>
        <v>MPAT x2 squad_201</v>
      </c>
      <c r="E5" t="str">
        <f ca="1">'divs nats data base'!$D$24</f>
        <v>mpat team_68</v>
      </c>
      <c r="F5" t="str">
        <f ca="1">'divs nats data base'!$D$30</f>
        <v>76mm M5/M7_102</v>
      </c>
      <c r="G5" t="str">
        <f ca="1">'divs nats data base'!$D$34</f>
        <v>76mm M5/M7_219</v>
      </c>
      <c r="H5">
        <v>0</v>
      </c>
      <c r="I5" t="str">
        <f ca="1">'divs nats data base'!$D$73</f>
        <v>jeep_16</v>
      </c>
      <c r="J5" t="str">
        <f ca="1">'divs nats data base'!$D$44</f>
        <v>recon squad_171</v>
      </c>
      <c r="K5" t="str">
        <f ca="1">'divs nats data base'!$D$48</f>
        <v>MPAT x2 squad_201</v>
      </c>
      <c r="L5" t="str">
        <f ca="1">'divs nats data base'!$D$61</f>
        <v>mpat team_68</v>
      </c>
      <c r="M5" t="str">
        <f ca="1">'divs nats data base'!$D$67</f>
        <v>76mm M5/M7_102</v>
      </c>
      <c r="N5" t="str">
        <f ca="1">'divs nats data base'!$D$71</f>
        <v>76mm M5/M7_219</v>
      </c>
      <c r="P5">
        <v>0</v>
      </c>
      <c r="Q5" t="str">
        <f ca="1">'divs nats data base'!$D$83</f>
        <v>recon squad_171</v>
      </c>
      <c r="R5" t="str">
        <f ca="1">'divs nats data base'!$D$87</f>
        <v>MPAT x2 squad_201</v>
      </c>
      <c r="V5" t="str">
        <f ca="1">'divs nats data base'!$D$103</f>
        <v>mpat team_68</v>
      </c>
      <c r="W5" t="str">
        <f ca="1">'divs nats data base'!$D$109</f>
        <v>recon squad_171</v>
      </c>
      <c r="X5" t="str">
        <f ca="1">'divs nats data base'!$D$113</f>
        <v>MPAT x2 squad_201</v>
      </c>
      <c r="AB5" t="str">
        <f ca="1">'divs nats data base'!$D$129</f>
        <v>mpat team_68</v>
      </c>
      <c r="AC5" t="str">
        <f ca="1">'divs nats data base'!$D$135</f>
        <v>76mm M5/M7_102</v>
      </c>
      <c r="AD5" t="str">
        <f ca="1">'divs nats data base'!$D$139</f>
        <v>76mm M5/M7_219</v>
      </c>
      <c r="AE5" t="str">
        <f ca="1">'divs nats data base'!$D$143</f>
        <v>armoured car_95</v>
      </c>
      <c r="AF5" t="str">
        <f ca="1">'divs nats data base'!$D$148</f>
        <v>M18 Hellcat_200</v>
      </c>
      <c r="AG5" t="str">
        <f ca="1">'divs nats data base'!$D$158</f>
        <v>M18 Hellcat_200</v>
      </c>
      <c r="AH5" t="str">
        <f ca="1">'divs nats data base'!$D$168</f>
        <v>M18 Hellcat_200</v>
      </c>
      <c r="AI5" t="str">
        <f ca="1">'divs nats data base'!$D$178</f>
        <v>recon squad_171</v>
      </c>
      <c r="AJ5" t="str">
        <f ca="1">'divs nats data base'!$D$182</f>
        <v>MPAT x2 squad_201</v>
      </c>
      <c r="AM5" t="str">
        <f ca="1">'divs nats data base'!$D$197</f>
        <v>mpat team_68</v>
      </c>
      <c r="AN5" t="str">
        <f ca="1">'divs nats data base'!$D$203</f>
        <v>75mm pak 40_102</v>
      </c>
      <c r="AO5" t="str">
        <f ca="1">'divs nats data base'!$D$208</f>
        <v>75mm pak 40_219</v>
      </c>
      <c r="AP5" t="str">
        <f ca="1">'divs nats data base'!$D$213</f>
        <v>armoured car_95</v>
      </c>
      <c r="AQ5" t="str">
        <f ca="1">'divs nats data base'!$D$217</f>
        <v>recon squad_171</v>
      </c>
      <c r="AR5" t="str">
        <f ca="1">'divs nats data base'!$D$221</f>
        <v>MPAT x2 squad_201</v>
      </c>
      <c r="AT5" t="str">
        <f ca="1">'divs nats data base'!$D$235</f>
        <v>mpat team_68</v>
      </c>
      <c r="AU5" t="str">
        <f ca="1">'divs nats data base'!$D$241</f>
        <v>75mm pak 40_102</v>
      </c>
      <c r="AV5" t="str">
        <f ca="1">'divs nats data base'!$D$246</f>
        <v>75mm pak 40_219</v>
      </c>
      <c r="AW5" t="str">
        <f ca="1">'divs nats data base'!$D$251</f>
        <v>half track_89</v>
      </c>
      <c r="AX5" t="str">
        <f ca="1">'divs nats data base'!$D$260</f>
        <v>Schwerer 234/4_245</v>
      </c>
      <c r="AY5" t="str">
        <f ca="1">'divs nats data base'!$D$265</f>
        <v>recon squad_171</v>
      </c>
      <c r="AZ5" t="str">
        <f ca="1">'divs nats data base'!$D$269</f>
        <v>MPAT x2 squad_201</v>
      </c>
      <c r="BD5" t="str">
        <f ca="1">'divs nats data base'!$D$285</f>
        <v>mpat team_68</v>
      </c>
      <c r="BE5" t="str">
        <f ca="1">'divs nats data base'!$D$291</f>
        <v>recon squad_171</v>
      </c>
      <c r="BF5" t="str">
        <f ca="1">'divs nats data base'!$D$295</f>
        <v>MPAT x2 squad_201</v>
      </c>
      <c r="BJ5" t="str">
        <f ca="1">'divs nats data base'!$D$311</f>
        <v>mpat team_68</v>
      </c>
      <c r="BK5" t="str">
        <f ca="1">'divs nats data base'!$D$317</f>
        <v>75mm pak 40_102</v>
      </c>
      <c r="BL5" t="str">
        <f ca="1">'divs nats data base'!$D$322</f>
        <v>75mm pak 40_219</v>
      </c>
      <c r="BM5" t="str">
        <f ca="1">'divs nats data base'!$D$327</f>
        <v>half track_89</v>
      </c>
      <c r="BN5" t="str">
        <f ca="1">'divs nats data base'!$D$331</f>
        <v>Schwerer 234/4_245</v>
      </c>
      <c r="BO5" t="str">
        <f ca="1">'divs nats data base'!$D$342</f>
        <v>Schwerer 234/4_245</v>
      </c>
      <c r="BP5" t="str">
        <f ca="1">'divs nats data base'!$D$353</f>
        <v>Schwerer 234/4_245</v>
      </c>
      <c r="BQ5" t="str">
        <f ca="1">'divs nats data base'!$D$364</f>
        <v>recon squad_171</v>
      </c>
      <c r="BR5" t="str">
        <f ca="1">'divs nats data base'!$D$368</f>
        <v>MPAT x2 squad_201</v>
      </c>
      <c r="BU5" t="str">
        <f ca="1">'divs nats data base'!$D$383</f>
        <v>mpat team_68</v>
      </c>
      <c r="BV5" t="str">
        <f ca="1">'divs nats data base'!$D$389</f>
        <v>QF 17 pounder_144</v>
      </c>
      <c r="BW5" t="str">
        <f ca="1">'divs nats data base'!$D$393</f>
        <v>QF 17 pounder_261</v>
      </c>
      <c r="BX5">
        <v>0</v>
      </c>
      <c r="BY5" t="str">
        <f ca="1">'divs nats data base'!$D$400</f>
        <v>recon squad_171</v>
      </c>
      <c r="BZ5" t="str">
        <f ca="1">'divs nats data base'!$D$404</f>
        <v>MPAT x2 squad_201</v>
      </c>
      <c r="CB5" t="str">
        <f ca="1">'divs nats data base'!$D$418</f>
        <v>mpat team_68</v>
      </c>
      <c r="CC5" t="str">
        <f ca="1">'divs nats data base'!$D$424</f>
        <v>QF 17 pounder_144</v>
      </c>
      <c r="CD5" t="str">
        <f ca="1">'divs nats data base'!$D$428</f>
        <v>QF 17 pounder_261</v>
      </c>
      <c r="CE5" t="str">
        <f ca="1">'divs nats data base'!$D$432</f>
        <v>armoured car_95</v>
      </c>
      <c r="CF5" t="str">
        <f ca="1">'divs nats data base'!$D$442</f>
        <v>T17 Staghound MK.III_160</v>
      </c>
      <c r="CG5" t="str">
        <f ca="1">'divs nats data base'!$D$447</f>
        <v>recon squad_171</v>
      </c>
      <c r="CH5" t="str">
        <f ca="1">'divs nats data base'!$D$451</f>
        <v>MPAT x2 squad_201</v>
      </c>
      <c r="CL5" t="str">
        <f ca="1">'divs nats data base'!$D$467</f>
        <v>mpat team_68</v>
      </c>
      <c r="CM5" t="str">
        <f ca="1">'divs nats data base'!$D$473</f>
        <v>recon squad_171</v>
      </c>
      <c r="CN5" t="str">
        <f ca="1">'divs nats data base'!$D$477</f>
        <v>MPAT x2 squad_201</v>
      </c>
      <c r="CR5" t="str">
        <f ca="1">'divs nats data base'!$D$493</f>
        <v>mpat team_68</v>
      </c>
      <c r="CS5" t="str">
        <f ca="1">'divs nats data base'!$D$499</f>
        <v>QF 17 pounder_144</v>
      </c>
      <c r="CT5" t="str">
        <f ca="1">'divs nats data base'!$D$503</f>
        <v>QF 17 pounder_261</v>
      </c>
      <c r="CU5" t="str">
        <f ca="1">'divs nats data base'!$D$507</f>
        <v>armoured car_95</v>
      </c>
      <c r="CV5" s="200" t="str">
        <f ca="1">'divs nats data base'!$D$512</f>
        <v>T17 Staghound MK.III_160</v>
      </c>
      <c r="CW5" s="200" t="str">
        <f ca="1">'divs nats data base'!$D$524</f>
        <v>T17 Staghound MK.III_160</v>
      </c>
      <c r="CX5" t="str">
        <f ca="1">'divs nats data base'!$D$536</f>
        <v>T17 Staghound MK.III_160</v>
      </c>
      <c r="CY5" t="str">
        <f ca="1">'divs nats data base'!$D$548</f>
        <v>recon squad_171</v>
      </c>
      <c r="CZ5" t="str">
        <f ca="1">'divs nats data base'!$D$552</f>
        <v>MPAT x2 squad_201</v>
      </c>
      <c r="DC5" t="str">
        <f ca="1">'divs nats data base'!$D$567</f>
        <v>mpat team_68</v>
      </c>
      <c r="DD5" t="str">
        <f ca="1">'divs nats data base'!$D$573</f>
        <v>75mm pak 40_102</v>
      </c>
      <c r="DE5" t="str">
        <f ca="1">'divs nats data base'!$D$579</f>
        <v>75mm pak 40_219</v>
      </c>
      <c r="DF5">
        <v>0</v>
      </c>
      <c r="DG5" t="str">
        <f ca="1">'divs nats data base'!$D$588</f>
        <v>recon squad_171</v>
      </c>
      <c r="DH5" t="str">
        <f ca="1">'divs nats data base'!$D$592</f>
        <v>MPAT x2 squad_201</v>
      </c>
      <c r="DJ5" t="str">
        <f ca="1">'divs nats data base'!$D$606</f>
        <v>mpat team_68</v>
      </c>
      <c r="DK5" t="str">
        <f ca="1">'divs nats data base'!$D$612</f>
        <v>75mm pak 40_102</v>
      </c>
      <c r="DL5" t="str">
        <f ca="1">'divs nats data base'!$D$618</f>
        <v>75mm pak 40_219</v>
      </c>
      <c r="DM5" t="str">
        <f ca="1">'divs nats data base'!$D$624</f>
        <v>half track_89</v>
      </c>
      <c r="DN5">
        <v>0</v>
      </c>
      <c r="DO5" t="str">
        <f ca="1">'divs nats data base'!$D$634</f>
        <v>recon squad_171</v>
      </c>
      <c r="DP5" t="str">
        <f ca="1">'divs nats data base'!$D$638</f>
        <v>MPAT x2 squad_201</v>
      </c>
      <c r="DT5" t="str">
        <f ca="1">'divs nats data base'!$D$654</f>
        <v>mpat team_68</v>
      </c>
      <c r="DU5" t="str">
        <f ca="1">'divs nats data base'!$D$660</f>
        <v>recon squad_171</v>
      </c>
      <c r="DV5" t="str">
        <f ca="1">'divs nats data base'!$D$664</f>
        <v>MPAT x2 squad_201</v>
      </c>
      <c r="DZ5" t="str">
        <f ca="1">'divs nats data base'!$D$680</f>
        <v>mpat team_68</v>
      </c>
      <c r="EA5" t="str">
        <f ca="1">'divs nats data base'!$D$686</f>
        <v>75mm pak 40_102</v>
      </c>
      <c r="EB5" t="str">
        <f ca="1">'divs nats data base'!$D$692</f>
        <v>75mm pak 40_219</v>
      </c>
      <c r="EC5" t="str">
        <f ca="1">'divs nats data base'!$D$698</f>
        <v>half track_89</v>
      </c>
      <c r="ED5" t="str">
        <f ca="1">'divs nats data base'!$D$702</f>
        <v>StuG III F_380</v>
      </c>
      <c r="EE5" t="str">
        <f ca="1">'divs nats data base'!$D$711</f>
        <v>StuG III F_380</v>
      </c>
      <c r="EF5" t="str">
        <f ca="1">'divs nats data base'!$D$720</f>
        <v>StuG III F_380</v>
      </c>
      <c r="EG5" t="str">
        <f ca="1">'divs nats data base'!$D$729</f>
        <v>recon squad_171</v>
      </c>
      <c r="EH5" t="str">
        <f ca="1">'divs nats data base'!$D$733</f>
        <v>MPAT x2 squad_201</v>
      </c>
      <c r="EK5" t="str">
        <f ca="1">'divs nats data base'!$D$748</f>
        <v>mpat team_68</v>
      </c>
      <c r="EL5" t="str">
        <f ca="1">'divs nats data base'!$D$754</f>
        <v>57mm ZiS-2_54</v>
      </c>
      <c r="EM5" t="str">
        <f ca="1">'divs nats data base'!$D$761</f>
        <v>57mm ZiS-2_171</v>
      </c>
      <c r="EN5">
        <v>0</v>
      </c>
      <c r="EO5" t="str">
        <f ca="1">'divs nats data base'!$D$771</f>
        <v>recon squad_171</v>
      </c>
      <c r="EP5" t="str">
        <f ca="1">'divs nats data base'!$D$775</f>
        <v>MPAT x2 squad_201</v>
      </c>
      <c r="ER5" t="str">
        <f ca="1">'divs nats data base'!$D$789</f>
        <v>mpat team_68</v>
      </c>
      <c r="ES5" t="str">
        <f ca="1">'divs nats data base'!$D$795</f>
        <v>57mm ZiS-2_54</v>
      </c>
      <c r="ET5" t="str">
        <f ca="1">'divs nats data base'!$D$802</f>
        <v>57mm ZiS-2_171</v>
      </c>
      <c r="EU5" t="str">
        <f ca="1">'divs nats data base'!$D$809</f>
        <v>half track_89</v>
      </c>
      <c r="EW5" t="str">
        <f ca="1">'divs nats data base'!$D$817</f>
        <v>recon squad_171</v>
      </c>
      <c r="EX5" t="str">
        <f ca="1">'divs nats data base'!$D$821</f>
        <v>MPAT x2 squad_201</v>
      </c>
      <c r="FB5" t="str">
        <f ca="1">'divs nats data base'!$D$837</f>
        <v>mpat team_68</v>
      </c>
      <c r="FC5" t="str">
        <f ca="1">'divs nats data base'!$D$843</f>
        <v>recon squad_171</v>
      </c>
      <c r="FD5" t="str">
        <f ca="1">'divs nats data base'!$D$847</f>
        <v>MPAT x2 squad_201</v>
      </c>
      <c r="FH5" t="str">
        <f ca="1">'divs nats data base'!$D$863</f>
        <v>mpat team_68</v>
      </c>
      <c r="FI5" t="str">
        <f ca="1">'divs nats data base'!$D$869</f>
        <v>57mm ZiS-2_54</v>
      </c>
      <c r="FJ5" t="str">
        <f ca="1">'divs nats data base'!$D$876</f>
        <v>57mm ZiS-2_171</v>
      </c>
      <c r="FK5" t="str">
        <f ca="1">'divs nats data base'!$D$883</f>
        <v>half track_89</v>
      </c>
      <c r="FL5" t="str">
        <f ca="1">'divs nats data base'!$D$887</f>
        <v>T34_275</v>
      </c>
      <c r="FM5" t="str">
        <f ca="1">'divs nats data base'!$D$893</f>
        <v>T34_275</v>
      </c>
      <c r="FN5" t="str">
        <f ca="1">'divs nats data base'!$D$899</f>
        <v>T34-85_305</v>
      </c>
      <c r="FO5" t="str">
        <f ca="1">'divs nats data base'!$D$905</f>
        <v>recon squad_171</v>
      </c>
      <c r="FP5" t="str">
        <f ca="1">'divs nats data base'!$D$909</f>
        <v>MPAT x2 squad_201</v>
      </c>
      <c r="FS5" t="str">
        <f ca="1">'divs nats data base'!$D$924</f>
        <v>mpat team_68</v>
      </c>
      <c r="FT5">
        <v>0</v>
      </c>
      <c r="FU5">
        <v>0</v>
      </c>
      <c r="FV5">
        <v>0</v>
      </c>
      <c r="FW5" t="str">
        <f ca="1">'divs nats data base'!$D$939</f>
        <v>recon squad_171</v>
      </c>
      <c r="FX5" t="str">
        <f ca="1">'divs nats data base'!$D$943</f>
        <v>MPAT x2 squad_201</v>
      </c>
      <c r="FZ5" t="str">
        <f ca="1">'divs nats data base'!$D$957</f>
        <v>mpat team_68</v>
      </c>
      <c r="GA5">
        <v>0</v>
      </c>
      <c r="GB5">
        <v>0</v>
      </c>
      <c r="GC5" t="str">
        <f ca="1">'divs nats data base'!$D$969</f>
        <v>half track_89</v>
      </c>
      <c r="GE5" t="str">
        <f ca="1">'divs nats data base'!$D$975</f>
        <v>recon squad_171</v>
      </c>
      <c r="GF5" t="str">
        <f ca="1">'divs nats data base'!$D$979</f>
        <v>MPAT x2 squad_201</v>
      </c>
      <c r="GJ5" t="str">
        <f ca="1">'divs nats data base'!$D$995</f>
        <v>mpat team_68</v>
      </c>
      <c r="GK5" t="str">
        <f ca="1">'divs nats data base'!$D$1001</f>
        <v>recon squad_171</v>
      </c>
      <c r="GL5" t="str">
        <f ca="1">'divs nats data base'!$D$1005</f>
        <v>MPAT x2 squad_201</v>
      </c>
      <c r="GP5" t="str">
        <f ca="1">'divs nats data base'!$D$1021</f>
        <v>mpat team_68</v>
      </c>
      <c r="GQ5">
        <v>0</v>
      </c>
      <c r="GR5">
        <v>0</v>
      </c>
      <c r="GS5" t="str">
        <f ca="1">'divs nats data base'!$D$1033</f>
        <v>armoured car_95</v>
      </c>
      <c r="GW5">
        <f>'divs nats data base'!$D$1040</f>
        <v>0</v>
      </c>
    </row>
    <row r="6" spans="1:205" x14ac:dyDescent="0.35">
      <c r="A6">
        <v>0</v>
      </c>
      <c r="B6" t="str">
        <f ca="1">'divs nats data base'!$D$10</f>
        <v>MMG squad_186</v>
      </c>
      <c r="E6" t="str">
        <f ca="1">'divs nats data base'!$D$25</f>
        <v>flame thrower team_85</v>
      </c>
      <c r="F6">
        <v>0</v>
      </c>
      <c r="G6">
        <v>0</v>
      </c>
      <c r="I6" t="str">
        <f ca="1">'divs nats data base'!$D$74</f>
        <v>truck_34</v>
      </c>
      <c r="J6">
        <v>0</v>
      </c>
      <c r="K6" t="str">
        <f ca="1">'divs nats data base'!$D$49</f>
        <v>MMG squad_186</v>
      </c>
      <c r="L6" t="str">
        <f ca="1">'divs nats data base'!$D$62</f>
        <v>flame thrower team_85</v>
      </c>
      <c r="M6">
        <v>0</v>
      </c>
      <c r="N6">
        <v>0</v>
      </c>
      <c r="Q6">
        <v>0</v>
      </c>
      <c r="R6" t="str">
        <f ca="1">'divs nats data base'!$D$88</f>
        <v>MMG squad_186</v>
      </c>
      <c r="V6" t="str">
        <f ca="1">'divs nats data base'!$D$104</f>
        <v>flame thrower team_85</v>
      </c>
      <c r="W6">
        <v>0</v>
      </c>
      <c r="X6" t="str">
        <f ca="1">'divs nats data base'!$D$114</f>
        <v>MMG squad_186</v>
      </c>
      <c r="AB6" t="str">
        <f ca="1">'divs nats data base'!$D$130</f>
        <v>flame thrower team_85</v>
      </c>
      <c r="AC6">
        <v>0</v>
      </c>
      <c r="AD6">
        <v>0</v>
      </c>
      <c r="AE6" t="str">
        <f ca="1">'divs nats data base'!$D$144</f>
        <v>half track_89</v>
      </c>
      <c r="AF6" t="str">
        <f ca="1">'divs nats data base'!$D$149</f>
        <v>m10_300</v>
      </c>
      <c r="AG6" t="str">
        <f ca="1">'divs nats data base'!$D$159</f>
        <v>m10_300</v>
      </c>
      <c r="AH6" t="str">
        <f ca="1">'divs nats data base'!$D$169</f>
        <v>m10_300</v>
      </c>
      <c r="AI6">
        <v>0</v>
      </c>
      <c r="AJ6" t="str">
        <f ca="1">'divs nats data base'!$D$183</f>
        <v>MMG squad_186</v>
      </c>
      <c r="AM6" t="str">
        <f ca="1">'divs nats data base'!$D$198</f>
        <v>flame thrower team_85</v>
      </c>
      <c r="AN6" t="str">
        <f ca="1">'divs nats data base'!$D$204</f>
        <v>88mm pak 43_144</v>
      </c>
      <c r="AO6" t="str">
        <f ca="1">'divs nats data base'!$D$209</f>
        <v>88mm pak 43_261</v>
      </c>
      <c r="AP6">
        <v>0</v>
      </c>
      <c r="AQ6">
        <v>0</v>
      </c>
      <c r="AR6" t="str">
        <f ca="1">'divs nats data base'!$D$222</f>
        <v>MMG squad_186</v>
      </c>
      <c r="AT6" t="str">
        <f ca="1">'divs nats data base'!$D$236</f>
        <v>flame thrower team_85</v>
      </c>
      <c r="AU6" t="str">
        <f ca="1">'divs nats data base'!$D$242</f>
        <v>88mm pak 43_144</v>
      </c>
      <c r="AV6" t="str">
        <f ca="1">'divs nats data base'!$D$247</f>
        <v>88mm pak 43_261</v>
      </c>
      <c r="AW6" t="str">
        <f ca="1">'divs nats data base'!$D$252</f>
        <v>Schwerer 234/1 AC_170</v>
      </c>
      <c r="AX6" t="str">
        <f ca="1">'divs nats data base'!$D$261</f>
        <v>Panzer III J_275</v>
      </c>
      <c r="AY6">
        <v>0</v>
      </c>
      <c r="AZ6" t="str">
        <f ca="1">'divs nats data base'!$D$270</f>
        <v>MMG squad_186</v>
      </c>
      <c r="BD6" t="str">
        <f ca="1">'divs nats data base'!$D$286</f>
        <v>flame thrower team_85</v>
      </c>
      <c r="BE6">
        <v>0</v>
      </c>
      <c r="BF6" t="str">
        <f ca="1">'divs nats data base'!$D$296</f>
        <v>MMG squad_186</v>
      </c>
      <c r="BJ6" t="str">
        <f ca="1">'divs nats data base'!$D$312</f>
        <v>flame thrower team_85</v>
      </c>
      <c r="BK6" t="str">
        <f ca="1">'divs nats data base'!$D$318</f>
        <v>88mm pak 43_144</v>
      </c>
      <c r="BL6" t="str">
        <f ca="1">'divs nats data base'!$D$323</f>
        <v>88mm pak 43_261</v>
      </c>
      <c r="BM6">
        <v>0</v>
      </c>
      <c r="BN6" t="str">
        <f ca="1">'divs nats data base'!$D$332</f>
        <v>Panzer III J_275</v>
      </c>
      <c r="BO6" t="str">
        <f ca="1">'divs nats data base'!$D$343</f>
        <v>Panzer III J_275</v>
      </c>
      <c r="BP6" t="str">
        <f ca="1">'divs nats data base'!$D$354</f>
        <v>Panzer III J_275</v>
      </c>
      <c r="BQ6">
        <v>0</v>
      </c>
      <c r="BR6" t="str">
        <f ca="1">'divs nats data base'!$D$369</f>
        <v>MMG squad_186</v>
      </c>
      <c r="BU6" t="str">
        <f ca="1">'divs nats data base'!$D$384</f>
        <v>flame thrower team_85</v>
      </c>
      <c r="BV6">
        <v>0</v>
      </c>
      <c r="BW6">
        <v>0</v>
      </c>
      <c r="BY6">
        <v>0</v>
      </c>
      <c r="BZ6" t="str">
        <f ca="1">'divs nats data base'!$D$405</f>
        <v>MMG squad_186</v>
      </c>
      <c r="CB6" t="str">
        <f ca="1">'divs nats data base'!$D$419</f>
        <v>flame thrower team_85</v>
      </c>
      <c r="CC6">
        <v>0</v>
      </c>
      <c r="CD6">
        <v>0</v>
      </c>
      <c r="CE6" t="str">
        <f ca="1">'divs nats data base'!$D$433</f>
        <v>half track_89</v>
      </c>
      <c r="CF6" t="str">
        <f ca="1">'divs nats data base'!$D$443</f>
        <v>M3 Stuart_210</v>
      </c>
      <c r="CG6">
        <v>0</v>
      </c>
      <c r="CH6" t="str">
        <f ca="1">'divs nats data base'!$D$452</f>
        <v>MMG squad_186</v>
      </c>
      <c r="CL6" t="str">
        <f ca="1">'divs nats data base'!$D$468</f>
        <v>flame thrower team_85</v>
      </c>
      <c r="CM6">
        <v>0</v>
      </c>
      <c r="CN6" t="str">
        <f ca="1">'divs nats data base'!$D$478</f>
        <v>MMG squad_186</v>
      </c>
      <c r="CR6" t="str">
        <f ca="1">'divs nats data base'!$D$494</f>
        <v>flame thrower team_85</v>
      </c>
      <c r="CS6">
        <v>0</v>
      </c>
      <c r="CT6">
        <v>0</v>
      </c>
      <c r="CU6" t="str">
        <f ca="1">'divs nats data base'!$D$508</f>
        <v>half track_89</v>
      </c>
      <c r="CV6" t="str">
        <f ca="1">'divs nats data base'!$D$513</f>
        <v>M3 Stuart_210</v>
      </c>
      <c r="CW6" s="200" t="str">
        <f ca="1">'divs nats data base'!$D$525</f>
        <v>M3 Stuart_210</v>
      </c>
      <c r="CX6" t="str">
        <f ca="1">'divs nats data base'!$D$537</f>
        <v>M3 Stuart_210</v>
      </c>
      <c r="CY6">
        <v>0</v>
      </c>
      <c r="CZ6" t="str">
        <f ca="1">'divs nats data base'!$D$553</f>
        <v>MMG squad_186</v>
      </c>
      <c r="DC6" t="str">
        <f ca="1">'divs nats data base'!$D$568</f>
        <v>flame thrower team_85</v>
      </c>
      <c r="DD6" t="str">
        <f ca="1">'divs nats data base'!$D$574</f>
        <v>76.2mm Zis-3_84</v>
      </c>
      <c r="DE6" t="str">
        <f ca="1">'divs nats data base'!$D$580</f>
        <v>76.2mm Zis-3_201</v>
      </c>
      <c r="DG6">
        <v>0</v>
      </c>
      <c r="DH6" t="str">
        <f ca="1">'divs nats data base'!$D$593</f>
        <v>MMG squad_186</v>
      </c>
      <c r="DJ6" t="str">
        <f ca="1">'divs nats data base'!$D$607</f>
        <v>flame thrower team_85</v>
      </c>
      <c r="DK6" t="str">
        <f ca="1">'divs nats data base'!$D$613</f>
        <v>76.2mm Zis-3_84</v>
      </c>
      <c r="DL6" t="str">
        <f ca="1">'divs nats data base'!$D$619</f>
        <v>76.2mm Zis-3_201</v>
      </c>
      <c r="DM6" t="str">
        <f ca="1">'divs nats data base'!$D$625</f>
        <v>BT-7_175</v>
      </c>
      <c r="DO6">
        <v>0</v>
      </c>
      <c r="DP6" t="str">
        <f ca="1">'divs nats data base'!$D$639</f>
        <v>MMG squad_186</v>
      </c>
      <c r="DT6" t="str">
        <f ca="1">'divs nats data base'!$D$655</f>
        <v>flame thrower team_85</v>
      </c>
      <c r="DU6">
        <v>0</v>
      </c>
      <c r="DV6" t="str">
        <f ca="1">'divs nats data base'!$D$665</f>
        <v>MMG squad_186</v>
      </c>
      <c r="DZ6" t="str">
        <f ca="1">'divs nats data base'!$D$681</f>
        <v>flame thrower team_85</v>
      </c>
      <c r="EA6" t="str">
        <f ca="1">'divs nats data base'!$D$687</f>
        <v>76.2mm Zis-3_84</v>
      </c>
      <c r="EB6" t="str">
        <f ca="1">'divs nats data base'!$D$693</f>
        <v>76.2mm Zis-3_201</v>
      </c>
      <c r="EC6">
        <v>0</v>
      </c>
      <c r="ED6" t="str">
        <f ca="1">'divs nats data base'!$D$703</f>
        <v>T34-85_305</v>
      </c>
      <c r="EE6" t="str">
        <f ca="1">'divs nats data base'!$D$712</f>
        <v>Panzer IV F2_470</v>
      </c>
      <c r="EF6" t="str">
        <f ca="1">'divs nats data base'!$D$721</f>
        <v>T34-85_305</v>
      </c>
      <c r="EG6">
        <v>0</v>
      </c>
      <c r="EH6" t="str">
        <f ca="1">'divs nats data base'!$D$734</f>
        <v>MMG squad_186</v>
      </c>
      <c r="EK6" t="str">
        <f ca="1">'divs nats data base'!$D$749</f>
        <v>flame thrower team_85</v>
      </c>
      <c r="EL6" t="str">
        <f ca="1">'divs nats data base'!$D$755</f>
        <v>76.2mm Zis-3_84</v>
      </c>
      <c r="EM6" t="str">
        <f ca="1">'divs nats data base'!$D$762</f>
        <v>76.2mm Zis-3_201</v>
      </c>
      <c r="EO6">
        <v>0</v>
      </c>
      <c r="EP6" t="str">
        <f ca="1">'divs nats data base'!$D$776</f>
        <v>MMG squad_186</v>
      </c>
      <c r="ER6" t="str">
        <f ca="1">'divs nats data base'!$D$790</f>
        <v>flame thrower team_85</v>
      </c>
      <c r="ES6" t="str">
        <f ca="1">'divs nats data base'!$D$796</f>
        <v>76.2mm Zis-3_84</v>
      </c>
      <c r="ET6" t="str">
        <f ca="1">'divs nats data base'!$D$803</f>
        <v>76.2mm Zis-3_201</v>
      </c>
      <c r="EU6" t="str">
        <f ca="1">'divs nats data base'!$D$810</f>
        <v>BT-7_175</v>
      </c>
      <c r="EW6">
        <v>0</v>
      </c>
      <c r="EX6" t="str">
        <f ca="1">'divs nats data base'!$D$822</f>
        <v>MMG squad_186</v>
      </c>
      <c r="FB6" t="str">
        <f ca="1">'divs nats data base'!$D$838</f>
        <v>flame thrower team_85</v>
      </c>
      <c r="FC6">
        <v>0</v>
      </c>
      <c r="FD6" t="str">
        <f ca="1">'divs nats data base'!$D$848</f>
        <v>MMG squad_186</v>
      </c>
      <c r="FH6" t="str">
        <f ca="1">'divs nats data base'!$D$864</f>
        <v>flame thrower team_85</v>
      </c>
      <c r="FI6" t="str">
        <f ca="1">'divs nats data base'!$D$870</f>
        <v>76.2mm Zis-3_84</v>
      </c>
      <c r="FJ6" t="str">
        <f ca="1">'divs nats data base'!$D$877</f>
        <v>76.2mm Zis-3_201</v>
      </c>
      <c r="FK6">
        <v>0</v>
      </c>
      <c r="FL6" t="str">
        <f ca="1">'divs nats data base'!$D$888</f>
        <v>KV-1b_795</v>
      </c>
      <c r="FM6" t="str">
        <f ca="1">'divs nats data base'!$D$894</f>
        <v>KV-1b_795</v>
      </c>
      <c r="FN6" t="str">
        <f ca="1">'divs nats data base'!$D$900</f>
        <v>KV-1b_795</v>
      </c>
      <c r="FO6">
        <v>0</v>
      </c>
      <c r="FP6" t="str">
        <f ca="1">'divs nats data base'!$D$910</f>
        <v>MMG squad_186</v>
      </c>
      <c r="FS6" t="str">
        <f ca="1">'divs nats data base'!$D$925</f>
        <v>flame thrower team_85</v>
      </c>
      <c r="FW6">
        <v>0</v>
      </c>
      <c r="FX6" t="str">
        <f ca="1">'divs nats data base'!$D$944</f>
        <v>MMG squad_186</v>
      </c>
      <c r="FZ6" t="str">
        <f ca="1">'divs nats data base'!$D$958</f>
        <v>flame thrower team_85</v>
      </c>
      <c r="GC6" t="str">
        <f ca="1">'divs nats data base'!$D$970</f>
        <v>Chi-ha_210</v>
      </c>
      <c r="GE6">
        <v>0</v>
      </c>
      <c r="GF6" t="str">
        <f ca="1">'divs nats data base'!$D$980</f>
        <v>MMG squad_186</v>
      </c>
      <c r="GJ6" t="str">
        <f ca="1">'divs nats data base'!$D$996</f>
        <v>flame thrower team_85</v>
      </c>
      <c r="GK6">
        <v>0</v>
      </c>
      <c r="GL6" t="str">
        <f ca="1">'divs nats data base'!$D$1006</f>
        <v>MMG squad_186</v>
      </c>
      <c r="GP6" t="str">
        <f ca="1">'divs nats data base'!$D$1022</f>
        <v>flame thrower team_85</v>
      </c>
      <c r="GS6">
        <v>0</v>
      </c>
      <c r="GW6">
        <f>'divs nats data base'!$D$1041</f>
        <v>0</v>
      </c>
    </row>
    <row r="7" spans="1:205" x14ac:dyDescent="0.35">
      <c r="B7" t="str">
        <f ca="1">'divs nats data base'!$D$11</f>
        <v>MMG x2 squad_215</v>
      </c>
      <c r="E7" t="str">
        <f ca="1">'divs nats data base'!$D$26</f>
        <v>mortar team_98</v>
      </c>
      <c r="I7" t="str">
        <f ca="1">'divs nats data base'!$D$75</f>
        <v>armoured car_95</v>
      </c>
      <c r="K7" t="str">
        <f ca="1">'divs nats data base'!$D$50</f>
        <v>MMG x2 squad_215</v>
      </c>
      <c r="L7" t="str">
        <f ca="1">'divs nats data base'!$D$63</f>
        <v>mortar team_98</v>
      </c>
      <c r="R7" t="str">
        <f ca="1">'divs nats data base'!$D$89</f>
        <v>MMG x2 squad_215</v>
      </c>
      <c r="V7" t="str">
        <f ca="1">'divs nats data base'!$D$105</f>
        <v>mortar team_98</v>
      </c>
      <c r="X7" t="str">
        <f ca="1">'divs nats data base'!$D$115</f>
        <v>MMG x2 squad_215</v>
      </c>
      <c r="AB7" t="str">
        <f ca="1">'divs nats data base'!$D$131</f>
        <v>mortar team_98</v>
      </c>
      <c r="AE7">
        <v>0</v>
      </c>
      <c r="AF7" t="str">
        <f ca="1">'divs nats data base'!$D$150</f>
        <v>m36 Jackson_375</v>
      </c>
      <c r="AG7" t="str">
        <f ca="1">'divs nats data base'!$D$160</f>
        <v>m36 Jackson_375</v>
      </c>
      <c r="AH7" t="str">
        <f ca="1">'divs nats data base'!$D$170</f>
        <v>m36 Jackson_375</v>
      </c>
      <c r="AJ7" t="str">
        <f ca="1">'divs nats data base'!$D$184</f>
        <v>MMG x2 squad_215</v>
      </c>
      <c r="AM7" t="str">
        <f ca="1">'divs nats data base'!$D$199</f>
        <v>mortar team_98</v>
      </c>
      <c r="AN7">
        <v>0</v>
      </c>
      <c r="AO7">
        <v>0</v>
      </c>
      <c r="AR7" t="str">
        <f ca="1">'divs nats data base'!$D$223</f>
        <v>MMG x2 squad_215</v>
      </c>
      <c r="AT7" t="str">
        <f ca="1">'divs nats data base'!$D$237</f>
        <v>mortar team_98</v>
      </c>
      <c r="AU7">
        <v>0</v>
      </c>
      <c r="AV7">
        <v>0</v>
      </c>
      <c r="AW7" t="str">
        <f ca="1">'divs nats data base'!$D$253</f>
        <v>Schwerer 234/2_180</v>
      </c>
      <c r="AX7">
        <v>0</v>
      </c>
      <c r="AZ7" t="str">
        <f ca="1">'divs nats data base'!$D$271</f>
        <v>MMG x2 squad_215</v>
      </c>
      <c r="BD7" t="str">
        <f ca="1">'divs nats data base'!$D$287</f>
        <v>mortar team_98</v>
      </c>
      <c r="BF7" t="str">
        <f ca="1">'divs nats data base'!$D$297</f>
        <v>MMG x2 squad_215</v>
      </c>
      <c r="BJ7" t="str">
        <f ca="1">'divs nats data base'!$D$313</f>
        <v>mortar team_98</v>
      </c>
      <c r="BK7">
        <v>0</v>
      </c>
      <c r="BL7">
        <v>0</v>
      </c>
      <c r="BN7" t="str">
        <f ca="1">'divs nats data base'!$D$333</f>
        <v>StuG III F_380</v>
      </c>
      <c r="BO7" t="str">
        <f ca="1">'divs nats data base'!$D$344</f>
        <v>StuG III F_380</v>
      </c>
      <c r="BP7" t="str">
        <f ca="1">'divs nats data base'!$D$355</f>
        <v>StuG III F_380</v>
      </c>
      <c r="BR7" t="str">
        <f ca="1">'divs nats data base'!$D$370</f>
        <v>MMG x2 squad_215</v>
      </c>
      <c r="BU7" t="str">
        <f ca="1">'divs nats data base'!$D$385</f>
        <v>mortar team_98</v>
      </c>
      <c r="BZ7" t="str">
        <f ca="1">'divs nats data base'!$D$406</f>
        <v>MMG x2 squad_215</v>
      </c>
      <c r="CB7" t="str">
        <f ca="1">'divs nats data base'!$D$420</f>
        <v>mortar team_98</v>
      </c>
      <c r="CE7" t="str">
        <f ca="1">'divs nats data base'!$D$434</f>
        <v>Valentine_270</v>
      </c>
      <c r="CF7">
        <v>0</v>
      </c>
      <c r="CH7" t="str">
        <f ca="1">'divs nats data base'!$D$453</f>
        <v>MMG x2 squad_215</v>
      </c>
      <c r="CL7" t="str">
        <f ca="1">'divs nats data base'!$D$469</f>
        <v>mortar team_98</v>
      </c>
      <c r="CN7" t="str">
        <f ca="1">'divs nats data base'!$D$479</f>
        <v>MMG x2 squad_215</v>
      </c>
      <c r="CR7" t="str">
        <f ca="1">'divs nats data base'!$D$495</f>
        <v>mortar team_98</v>
      </c>
      <c r="CU7">
        <v>0</v>
      </c>
      <c r="CV7" t="str">
        <f ca="1">'divs nats data base'!$D$514</f>
        <v>Achilles_350</v>
      </c>
      <c r="CW7" s="200" t="str">
        <f ca="1">'divs nats data base'!$D$526</f>
        <v>Achilles_350</v>
      </c>
      <c r="CX7" t="str">
        <f ca="1">'divs nats data base'!$D$538</f>
        <v>Achilles_350</v>
      </c>
      <c r="CZ7" t="str">
        <f ca="1">'divs nats data base'!$D$554</f>
        <v>MMG x2 squad_215</v>
      </c>
      <c r="DC7" t="str">
        <f ca="1">'divs nats data base'!$D$569</f>
        <v>mortar team_98</v>
      </c>
      <c r="DD7" t="str">
        <f ca="1">'divs nats data base'!$D$575</f>
        <v>100mm BS-3_144</v>
      </c>
      <c r="DE7" t="str">
        <f ca="1">'divs nats data base'!$D$581</f>
        <v>100mm BS-3_261</v>
      </c>
      <c r="DH7" t="str">
        <f ca="1">'divs nats data base'!$D$594</f>
        <v>MMG x2 squad_215</v>
      </c>
      <c r="DJ7" t="str">
        <f ca="1">'divs nats data base'!$D$608</f>
        <v>mortar team_98</v>
      </c>
      <c r="DK7" t="str">
        <f ca="1">'divs nats data base'!$D$614</f>
        <v>100mm BS-3_144</v>
      </c>
      <c r="DL7" t="str">
        <f ca="1">'divs nats data base'!$D$620</f>
        <v>100mm BS-3_261</v>
      </c>
      <c r="DM7" t="str">
        <f ca="1">'divs nats data base'!$D$626</f>
        <v>BT-42 HOW_265</v>
      </c>
      <c r="DP7" t="str">
        <f ca="1">'divs nats data base'!$D$640</f>
        <v>MMG x2 squad_215</v>
      </c>
      <c r="DT7" t="str">
        <f ca="1">'divs nats data base'!$D$656</f>
        <v>mortar team_98</v>
      </c>
      <c r="DV7" t="str">
        <f ca="1">'divs nats data base'!$D$666</f>
        <v>MMG x2 squad_215</v>
      </c>
      <c r="DZ7" t="str">
        <f ca="1">'divs nats data base'!$D$682</f>
        <v>mortar team_98</v>
      </c>
      <c r="EA7" t="str">
        <f ca="1">'divs nats data base'!$D$688</f>
        <v>100mm BS-3_144</v>
      </c>
      <c r="EB7" t="str">
        <f ca="1">'divs nats data base'!$D$694</f>
        <v>100mm BS-3_261</v>
      </c>
      <c r="ED7" t="str">
        <f ca="1">'divs nats data base'!$D$704</f>
        <v>Panzer IV F2_470</v>
      </c>
      <c r="EE7" t="str">
        <f ca="1">'divs nats data base'!$D$713</f>
        <v>KV-1b_795</v>
      </c>
      <c r="EF7" t="str">
        <f ca="1">'divs nats data base'!$D$722</f>
        <v>Panzer IV F2_470</v>
      </c>
      <c r="EH7" t="str">
        <f ca="1">'divs nats data base'!$D$735</f>
        <v>MMG x2 squad_215</v>
      </c>
      <c r="EK7" t="str">
        <f ca="1">'divs nats data base'!$D$750</f>
        <v>mortar team_98</v>
      </c>
      <c r="EL7" t="str">
        <f ca="1">'divs nats data base'!$D$756</f>
        <v>85mm D-44_122</v>
      </c>
      <c r="EM7" t="str">
        <f ca="1">'divs nats data base'!$D$763</f>
        <v>85mm D-44_239</v>
      </c>
      <c r="EP7" t="str">
        <f ca="1">'divs nats data base'!$D$777</f>
        <v>MMG x2 squad_215</v>
      </c>
      <c r="ER7" t="str">
        <f ca="1">'divs nats data base'!$D$791</f>
        <v>mortar team_98</v>
      </c>
      <c r="ES7" t="str">
        <f ca="1">'divs nats data base'!$D$797</f>
        <v>85mm D-44_122</v>
      </c>
      <c r="ET7" t="str">
        <f ca="1">'divs nats data base'!$D$804</f>
        <v>85mm D-44_239</v>
      </c>
      <c r="EU7" t="str">
        <f ca="1">'divs nats data base'!$D$811</f>
        <v>BT-42 HOW_265</v>
      </c>
      <c r="EX7" t="str">
        <f ca="1">'divs nats data base'!$D$823</f>
        <v>MMG x2 squad_215</v>
      </c>
      <c r="FB7" t="str">
        <f ca="1">'divs nats data base'!$D$839</f>
        <v>mortar team_98</v>
      </c>
      <c r="FD7" t="str">
        <f ca="1">'divs nats data base'!$D$849</f>
        <v>MMG x2 squad_215</v>
      </c>
      <c r="FH7" t="str">
        <f ca="1">'divs nats data base'!$D$865</f>
        <v>mortar team_98</v>
      </c>
      <c r="FI7" t="str">
        <f ca="1">'divs nats data base'!$D$871</f>
        <v>85mm D-44_122</v>
      </c>
      <c r="FJ7" t="str">
        <f ca="1">'divs nats data base'!$D$878</f>
        <v>85mm D-44_239</v>
      </c>
      <c r="FL7" t="str">
        <f ca="1">'divs nats data base'!$D$889</f>
        <v>IS-2_970</v>
      </c>
      <c r="FM7" t="str">
        <f ca="1">'divs nats data base'!$D$895</f>
        <v>IS-2_970</v>
      </c>
      <c r="FN7" t="str">
        <f ca="1">'divs nats data base'!$D$901</f>
        <v>IS-2_970</v>
      </c>
      <c r="FP7" t="str">
        <f ca="1">'divs nats data base'!$D$911</f>
        <v>MMG x2 squad_215</v>
      </c>
      <c r="FS7" t="str">
        <f ca="1">'divs nats data base'!$D$926</f>
        <v>mortar team_98</v>
      </c>
      <c r="FX7" t="str">
        <f ca="1">'divs nats data base'!$D$945</f>
        <v>MMG x2 squad_215</v>
      </c>
      <c r="FZ7" t="str">
        <f ca="1">'divs nats data base'!$D$959</f>
        <v>mortar team_98</v>
      </c>
      <c r="GC7">
        <v>0</v>
      </c>
      <c r="GF7" t="str">
        <f ca="1">'divs nats data base'!$D$981</f>
        <v>MMG x2 squad_215</v>
      </c>
      <c r="GJ7" t="str">
        <f ca="1">'divs nats data base'!$D$997</f>
        <v>mortar team_98</v>
      </c>
      <c r="GL7" t="str">
        <f ca="1">'divs nats data base'!$D$1007</f>
        <v>MMG x2 squad_215</v>
      </c>
      <c r="GP7" t="str">
        <f ca="1">'divs nats data base'!$D$1023</f>
        <v>mortar team_98</v>
      </c>
      <c r="GW7">
        <f>'divs nats data base'!$D$1042</f>
        <v>0</v>
      </c>
    </row>
    <row r="8" spans="1:205" x14ac:dyDescent="0.35">
      <c r="B8" t="str">
        <f ca="1">'divs nats data base'!$D$12</f>
        <v>MMG, HMG squad_222</v>
      </c>
      <c r="E8">
        <v>0</v>
      </c>
      <c r="I8" t="str">
        <f ca="1">'divs nats data base'!$D$76</f>
        <v>half track_89</v>
      </c>
      <c r="K8" t="str">
        <f ca="1">'divs nats data base'!$D$51</f>
        <v>MMG, HMG squad_222</v>
      </c>
      <c r="L8">
        <v>0</v>
      </c>
      <c r="R8" t="str">
        <f ca="1">'divs nats data base'!$D$90</f>
        <v>MMG, HMG squad_222</v>
      </c>
      <c r="V8">
        <v>0</v>
      </c>
      <c r="X8" t="str">
        <f ca="1">'divs nats data base'!$D$116</f>
        <v>MMG, HMG squad_222</v>
      </c>
      <c r="AB8">
        <v>0</v>
      </c>
      <c r="AF8" t="str">
        <f ca="1">'divs nats data base'!$D$151</f>
        <v>M4A2 Sherman_375</v>
      </c>
      <c r="AG8" t="str">
        <f ca="1">'divs nats data base'!$D$161</f>
        <v>M4A2 Sherman_375</v>
      </c>
      <c r="AH8" t="str">
        <f ca="1">'divs nats data base'!$D$171</f>
        <v>M4A2 Sherman_375</v>
      </c>
      <c r="AJ8" t="str">
        <f ca="1">'divs nats data base'!$D$185</f>
        <v>MMG, HMG squad_222</v>
      </c>
      <c r="AM8">
        <v>0</v>
      </c>
      <c r="AR8" t="str">
        <f ca="1">'divs nats data base'!$D$224</f>
        <v>MMG, HMG squad_222</v>
      </c>
      <c r="AT8">
        <v>0</v>
      </c>
      <c r="AW8" t="str">
        <f ca="1">'divs nats data base'!$D$254</f>
        <v>Schwerer 234/3 HOW_205</v>
      </c>
      <c r="AZ8" t="str">
        <f ca="1">'divs nats data base'!$D$272</f>
        <v>MMG, HMG squad_222</v>
      </c>
      <c r="BD8">
        <v>0</v>
      </c>
      <c r="BF8" t="str">
        <f ca="1">'divs nats data base'!$D$298</f>
        <v>MMG, HMG squad_222</v>
      </c>
      <c r="BJ8">
        <v>0</v>
      </c>
      <c r="BN8" t="str">
        <f ca="1">'divs nats data base'!$D$334</f>
        <v>Panzer IV F2_470</v>
      </c>
      <c r="BO8" t="str">
        <f ca="1">'divs nats data base'!$D$345</f>
        <v>Panzer IV F2_470</v>
      </c>
      <c r="BP8" t="str">
        <f ca="1">'divs nats data base'!$D$356</f>
        <v>Panzer IV F2_470</v>
      </c>
      <c r="BR8" t="str">
        <f ca="1">'divs nats data base'!$D$371</f>
        <v>MMG, HMG squad_222</v>
      </c>
      <c r="BU8">
        <v>0</v>
      </c>
      <c r="BZ8" t="str">
        <f ca="1">'divs nats data base'!$D$407</f>
        <v>MMG, HMG squad_222</v>
      </c>
      <c r="CB8">
        <v>0</v>
      </c>
      <c r="CE8" t="str">
        <f ca="1">'divs nats data base'!$D$435</f>
        <v>Valentine MK.IX_285</v>
      </c>
      <c r="CH8" t="str">
        <f ca="1">'divs nats data base'!$D$454</f>
        <v>MMG, HMG squad_222</v>
      </c>
      <c r="CL8">
        <v>0</v>
      </c>
      <c r="CN8" t="str">
        <f ca="1">'divs nats data base'!$D$480</f>
        <v>MMG, HMG squad_222</v>
      </c>
      <c r="CR8">
        <v>0</v>
      </c>
      <c r="CV8" s="200" t="str">
        <f ca="1">'divs nats data base'!$D$515</f>
        <v>Matilda III_430</v>
      </c>
      <c r="CW8" s="200" t="str">
        <f ca="1">'divs nats data base'!$D$527</f>
        <v>Matilda III_430</v>
      </c>
      <c r="CX8" t="str">
        <f ca="1">'divs nats data base'!$D$539</f>
        <v>Matilda III_430</v>
      </c>
      <c r="CZ8" t="str">
        <f ca="1">'divs nats data base'!$D$555</f>
        <v>MMG, HMG squad_222</v>
      </c>
      <c r="DC8">
        <v>0</v>
      </c>
      <c r="DD8">
        <v>0</v>
      </c>
      <c r="DE8">
        <v>0</v>
      </c>
      <c r="DH8" t="str">
        <f ca="1">'divs nats data base'!$D$595</f>
        <v>MMG, HMG squad_222</v>
      </c>
      <c r="DJ8">
        <v>0</v>
      </c>
      <c r="DK8">
        <v>0</v>
      </c>
      <c r="DL8">
        <v>0</v>
      </c>
      <c r="DM8" t="str">
        <f ca="1">'divs nats data base'!$D$627</f>
        <v>Panzer III J_275</v>
      </c>
      <c r="DP8" t="str">
        <f ca="1">'divs nats data base'!$D$641</f>
        <v>MMG, HMG squad_222</v>
      </c>
      <c r="DT8">
        <v>0</v>
      </c>
      <c r="DV8" t="str">
        <f ca="1">'divs nats data base'!$D$667</f>
        <v>MMG, HMG squad_222</v>
      </c>
      <c r="DZ8">
        <v>0</v>
      </c>
      <c r="EA8">
        <v>0</v>
      </c>
      <c r="EB8">
        <v>0</v>
      </c>
      <c r="ED8" t="str">
        <f ca="1">'divs nats data base'!$D$705</f>
        <v>T34_275</v>
      </c>
      <c r="EE8" t="str">
        <f ca="1">'divs nats data base'!$D$714</f>
        <v>IS-2_970</v>
      </c>
      <c r="EF8" t="str">
        <f ca="1">'divs nats data base'!$D$723</f>
        <v>T34_275</v>
      </c>
      <c r="EH8" t="str">
        <f ca="1">'divs nats data base'!$D$736</f>
        <v>MMG, HMG squad_222</v>
      </c>
      <c r="EK8">
        <v>0</v>
      </c>
      <c r="EL8" t="str">
        <f ca="1">'divs nats data base'!$D$757</f>
        <v>100mm BS-3_144</v>
      </c>
      <c r="EM8" t="str">
        <f ca="1">'divs nats data base'!$D$764</f>
        <v>100mm BS-3_261</v>
      </c>
      <c r="EP8" t="str">
        <f ca="1">'divs nats data base'!$D$778</f>
        <v>MMG, HMG squad_222</v>
      </c>
      <c r="ER8">
        <v>0</v>
      </c>
      <c r="ES8" t="str">
        <f ca="1">'divs nats data base'!$D$798</f>
        <v>100mm BS-3_144</v>
      </c>
      <c r="ET8" t="str">
        <f ca="1">'divs nats data base'!$D$805</f>
        <v>100mm BS-3_261</v>
      </c>
      <c r="EU8">
        <v>0</v>
      </c>
      <c r="EX8" t="str">
        <f ca="1">'divs nats data base'!$D$824</f>
        <v>MMG, HMG squad_222</v>
      </c>
      <c r="FB8">
        <v>0</v>
      </c>
      <c r="FD8" t="str">
        <f ca="1">'divs nats data base'!$D$850</f>
        <v>MMG, HMG squad_222</v>
      </c>
      <c r="FH8">
        <v>0</v>
      </c>
      <c r="FI8" t="str">
        <f ca="1">'divs nats data base'!$D$872</f>
        <v>100mm BS-3_144</v>
      </c>
      <c r="FJ8" t="str">
        <f ca="1">'divs nats data base'!$D$879</f>
        <v>100mm BS-3_261</v>
      </c>
      <c r="FL8">
        <v>0</v>
      </c>
      <c r="FM8">
        <v>0</v>
      </c>
      <c r="FN8">
        <v>0</v>
      </c>
      <c r="FP8" t="str">
        <f ca="1">'divs nats data base'!$D$912</f>
        <v>MMG, HMG squad_222</v>
      </c>
      <c r="FS8">
        <v>0</v>
      </c>
      <c r="FX8" t="str">
        <f ca="1">'divs nats data base'!$D$946</f>
        <v>MMG, HMG squad_222</v>
      </c>
      <c r="FZ8">
        <v>0</v>
      </c>
      <c r="GF8" t="str">
        <f ca="1">'divs nats data base'!$D$982</f>
        <v>MMG, HMG squad_222</v>
      </c>
      <c r="GJ8">
        <v>0</v>
      </c>
      <c r="GL8" t="str">
        <f ca="1">'divs nats data base'!$D$1008</f>
        <v>MMG, HMG squad_222</v>
      </c>
      <c r="GP8">
        <v>0</v>
      </c>
      <c r="GW8">
        <f>'divs nats data base'!$D$1043</f>
        <v>0</v>
      </c>
    </row>
    <row r="9" spans="1:205" x14ac:dyDescent="0.35">
      <c r="B9" t="str">
        <f ca="1">'divs nats data base'!$D$13</f>
        <v>HMG_193</v>
      </c>
      <c r="I9">
        <v>0</v>
      </c>
      <c r="K9" t="str">
        <f ca="1">'divs nats data base'!$D$52</f>
        <v>HMG_193</v>
      </c>
      <c r="R9" t="str">
        <f ca="1">'divs nats data base'!$D$91</f>
        <v>HMG_193</v>
      </c>
      <c r="X9" t="str">
        <f ca="1">'divs nats data base'!$D$117</f>
        <v>HMG_193</v>
      </c>
      <c r="AF9" t="str">
        <f ca="1">'divs nats data base'!$D$152</f>
        <v>Sherman Jumbo_595</v>
      </c>
      <c r="AG9" t="str">
        <f ca="1">'divs nats data base'!$D$162</f>
        <v>Sherman Jumbo_595</v>
      </c>
      <c r="AH9" t="str">
        <f ca="1">'divs nats data base'!$D$172</f>
        <v>Sherman Jumbo_595</v>
      </c>
      <c r="AJ9" t="str">
        <f ca="1">'divs nats data base'!$D$186</f>
        <v>HMG_193</v>
      </c>
      <c r="AR9" t="str">
        <f ca="1">'divs nats data base'!$D$225</f>
        <v>HMG_193</v>
      </c>
      <c r="AW9" t="str">
        <f ca="1">'divs nats data base'!$D$255</f>
        <v>Schwerer 234/4_245</v>
      </c>
      <c r="AZ9" t="str">
        <f ca="1">'divs nats data base'!$D$273</f>
        <v>HMG_193</v>
      </c>
      <c r="BF9" t="str">
        <f ca="1">'divs nats data base'!$D$299</f>
        <v>HMG_193</v>
      </c>
      <c r="BN9" t="str">
        <f ca="1">'divs nats data base'!$D$335</f>
        <v>Tiger_870</v>
      </c>
      <c r="BO9" t="str">
        <f ca="1">'divs nats data base'!$D$346</f>
        <v>Tiger_870</v>
      </c>
      <c r="BP9" t="str">
        <f ca="1">'divs nats data base'!$D$357</f>
        <v>Tiger_870</v>
      </c>
      <c r="BR9" t="str">
        <f ca="1">'divs nats data base'!$D$372</f>
        <v>HMG_193</v>
      </c>
      <c r="BZ9" t="str">
        <f ca="1">'divs nats data base'!$D$408</f>
        <v>HMG_193</v>
      </c>
      <c r="CE9" t="str">
        <f ca="1">'divs nats data base'!$D$436</f>
        <v>Humber AC_150</v>
      </c>
      <c r="CH9" t="str">
        <f ca="1">'divs nats data base'!$D$455</f>
        <v>HMG_193</v>
      </c>
      <c r="CN9" t="str">
        <f ca="1">'divs nats data base'!$D$481</f>
        <v>HMG_193</v>
      </c>
      <c r="CV9" s="200" t="str">
        <f ca="1">'divs nats data base'!$D$516</f>
        <v>Cromwell_355</v>
      </c>
      <c r="CW9" t="str">
        <f ca="1">'divs nats data base'!$D$528</f>
        <v>comet_485</v>
      </c>
      <c r="CX9" t="str">
        <f ca="1">'divs nats data base'!$D$540</f>
        <v>Cromwell_355</v>
      </c>
      <c r="CZ9" t="str">
        <f ca="1">'divs nats data base'!$D$556</f>
        <v>HMG_193</v>
      </c>
      <c r="DH9" t="str">
        <f ca="1">'divs nats data base'!$D$596</f>
        <v>HMG_193</v>
      </c>
      <c r="DM9">
        <v>0</v>
      </c>
      <c r="DP9" t="str">
        <f ca="1">'divs nats data base'!$D$642</f>
        <v>HMG_193</v>
      </c>
      <c r="DV9" t="str">
        <f ca="1">'divs nats data base'!$D$668</f>
        <v>HMG_193</v>
      </c>
      <c r="ED9" t="str">
        <f ca="1">'divs nats data base'!$D$706</f>
        <v>KV-1b_795</v>
      </c>
      <c r="EE9" t="str">
        <f ca="1">'divs nats data base'!$D$715</f>
        <v>T34_275</v>
      </c>
      <c r="EF9" t="str">
        <f ca="1">'divs nats data base'!$D$724</f>
        <v>KV-1b_795</v>
      </c>
      <c r="EH9" t="str">
        <f ca="1">'divs nats data base'!$D$737</f>
        <v>HMG_193</v>
      </c>
      <c r="EL9">
        <v>0</v>
      </c>
      <c r="EM9">
        <v>0</v>
      </c>
      <c r="EP9" t="str">
        <f ca="1">'divs nats data base'!$D$779</f>
        <v>HMG_193</v>
      </c>
      <c r="ES9">
        <v>0</v>
      </c>
      <c r="ET9">
        <v>0</v>
      </c>
      <c r="EX9" t="str">
        <f ca="1">'divs nats data base'!$D$825</f>
        <v>HMG_193</v>
      </c>
      <c r="FD9" t="str">
        <f ca="1">'divs nats data base'!$D$851</f>
        <v>HMG_193</v>
      </c>
      <c r="FI9">
        <v>0</v>
      </c>
      <c r="FJ9">
        <v>0</v>
      </c>
      <c r="FP9" t="str">
        <f ca="1">'divs nats data base'!$D$913</f>
        <v>HMG_193</v>
      </c>
      <c r="FX9" t="str">
        <f ca="1">'divs nats data base'!$D$947</f>
        <v>HMG_193</v>
      </c>
      <c r="GF9" t="str">
        <f ca="1">'divs nats data base'!$D$983</f>
        <v>HMG_193</v>
      </c>
      <c r="GL9" t="str">
        <f ca="1">'divs nats data base'!$D$1009</f>
        <v>HMG_193</v>
      </c>
      <c r="GW9">
        <f>'divs nats data base'!$D$1044</f>
        <v>0</v>
      </c>
    </row>
    <row r="10" spans="1:205" x14ac:dyDescent="0.35">
      <c r="B10" t="str">
        <f ca="1">'divs nats data base'!$D$14</f>
        <v>HMG x2 squad_229</v>
      </c>
      <c r="K10" t="str">
        <f ca="1">'divs nats data base'!$D$53</f>
        <v>HMG x2 squad_229</v>
      </c>
      <c r="R10" t="str">
        <f ca="1">'divs nats data base'!$D$92</f>
        <v>HMG x2 squad_229</v>
      </c>
      <c r="X10" t="str">
        <f ca="1">'divs nats data base'!$D$118</f>
        <v>HMG x2 squad_229</v>
      </c>
      <c r="AF10" t="str">
        <f ca="1">'divs nats data base'!$D$153</f>
        <v>M4 Firefly_475</v>
      </c>
      <c r="AG10" t="str">
        <f ca="1">'divs nats data base'!$D$163</f>
        <v>M4 Firefly_475</v>
      </c>
      <c r="AH10" t="str">
        <f ca="1">'divs nats data base'!$D$173</f>
        <v>M4 Firefly_475</v>
      </c>
      <c r="AJ10" t="str">
        <f ca="1">'divs nats data base'!$D$187</f>
        <v>HMG x2 squad_229</v>
      </c>
      <c r="AR10" t="str">
        <f ca="1">'divs nats data base'!$D$226</f>
        <v>HMG x2 squad_229</v>
      </c>
      <c r="AW10" t="str">
        <f ca="1">'divs nats data base'!$D$256</f>
        <v>Panzer III J_275</v>
      </c>
      <c r="AZ10" t="str">
        <f ca="1">'divs nats data base'!$D$274</f>
        <v>HMG x2 squad_229</v>
      </c>
      <c r="BF10" t="str">
        <f ca="1">'divs nats data base'!$D$300</f>
        <v>HMG x2 squad_229</v>
      </c>
      <c r="BN10" t="str">
        <f ca="1">'divs nats data base'!$D$336</f>
        <v>Panther_620</v>
      </c>
      <c r="BO10" t="str">
        <f ca="1">'divs nats data base'!$D$347</f>
        <v>Panther_620</v>
      </c>
      <c r="BP10" t="str">
        <f ca="1">'divs nats data base'!$D$358</f>
        <v>Panther_620</v>
      </c>
      <c r="BR10" t="str">
        <f ca="1">'divs nats data base'!$D$373</f>
        <v>HMG x2 squad_229</v>
      </c>
      <c r="BZ10" t="str">
        <f ca="1">'divs nats data base'!$D$409</f>
        <v>HMG x2 squad_229</v>
      </c>
      <c r="CE10" t="str">
        <f ca="1">'divs nats data base'!$D$437</f>
        <v>T17 Staghound MK.III_160</v>
      </c>
      <c r="CH10" t="str">
        <f ca="1">'divs nats data base'!$D$456</f>
        <v>HMG x2 squad_229</v>
      </c>
      <c r="CN10" t="str">
        <f ca="1">'divs nats data base'!$D$482</f>
        <v>HMG x2 squad_229</v>
      </c>
      <c r="CV10" t="str">
        <f ca="1">'divs nats data base'!$D$517</f>
        <v>comet_485</v>
      </c>
      <c r="CW10" s="200" t="str">
        <f ca="1">'divs nats data base'!$D$529</f>
        <v>Cromwell_355</v>
      </c>
      <c r="CX10" t="str">
        <f ca="1">'divs nats data base'!$D$541</f>
        <v>comet_485</v>
      </c>
      <c r="CZ10" t="str">
        <f ca="1">'divs nats data base'!$D$557</f>
        <v>HMG x2 squad_229</v>
      </c>
      <c r="DH10" t="str">
        <f ca="1">'divs nats data base'!$D$597</f>
        <v>HMG x2 squad_229</v>
      </c>
      <c r="DP10" t="str">
        <f ca="1">'divs nats data base'!$D$643</f>
        <v>HMG x2 squad_229</v>
      </c>
      <c r="DV10" t="str">
        <f ca="1">'divs nats data base'!$D$669</f>
        <v>HMG x2 squad_229</v>
      </c>
      <c r="ED10" t="str">
        <f ca="1">'divs nats data base'!$D$707</f>
        <v>IS-2_970</v>
      </c>
      <c r="EE10" t="str">
        <f ca="1">'divs nats data base'!$D$716</f>
        <v>T34-85_305</v>
      </c>
      <c r="EF10" t="str">
        <f ca="1">'divs nats data base'!$D$725</f>
        <v>IS-2_970</v>
      </c>
      <c r="EH10" t="str">
        <f ca="1">'divs nats data base'!$D$738</f>
        <v>HMG x2 squad_229</v>
      </c>
      <c r="EP10" t="str">
        <f ca="1">'divs nats data base'!$D$780</f>
        <v>HMG x2 squad_229</v>
      </c>
      <c r="EX10" t="str">
        <f ca="1">'divs nats data base'!$D$826</f>
        <v>HMG x2 squad_229</v>
      </c>
      <c r="FD10" t="str">
        <f ca="1">'divs nats data base'!$D$852</f>
        <v>HMG x2 squad_229</v>
      </c>
      <c r="FP10" t="str">
        <f ca="1">'divs nats data base'!$D$914</f>
        <v>HMG x2 squad_229</v>
      </c>
      <c r="FX10" t="str">
        <f ca="1">'divs nats data base'!$D$948</f>
        <v>HMG x2 squad_229</v>
      </c>
      <c r="GF10" t="str">
        <f ca="1">'divs nats data base'!$D$984</f>
        <v>HMG x2 squad_229</v>
      </c>
      <c r="GL10" t="str">
        <f ca="1">'divs nats data base'!$D$1010</f>
        <v>HMG x2 squad_229</v>
      </c>
      <c r="GW10">
        <f>'divs nats data base'!$D$1045</f>
        <v>0</v>
      </c>
    </row>
    <row r="11" spans="1:205" x14ac:dyDescent="0.35">
      <c r="B11" t="str">
        <f ca="1">'divs nats data base'!$D$15</f>
        <v>flame squad_196</v>
      </c>
      <c r="K11" t="str">
        <f ca="1">'divs nats data base'!$D$54</f>
        <v>flame squad_196</v>
      </c>
      <c r="R11" t="str">
        <f ca="1">'divs nats data base'!$D$93</f>
        <v>flame squad_196</v>
      </c>
      <c r="X11" t="str">
        <f ca="1">'divs nats data base'!$D$119</f>
        <v>flame squad_196</v>
      </c>
      <c r="AF11" t="str">
        <f ca="1">'divs nats data base'!$D$154</f>
        <v>M26 Pershing_850</v>
      </c>
      <c r="AG11" t="str">
        <f ca="1">'divs nats data base'!$D$164</f>
        <v>M26 Pershing_850</v>
      </c>
      <c r="AH11" t="str">
        <f ca="1">'divs nats data base'!$D$174</f>
        <v>M26 Pershing_850</v>
      </c>
      <c r="AJ11" t="str">
        <f ca="1">'divs nats data base'!$D$188</f>
        <v>flame squad_196</v>
      </c>
      <c r="AR11" t="str">
        <f ca="1">'divs nats data base'!$D$227</f>
        <v>flame squad_196</v>
      </c>
      <c r="AW11">
        <v>0</v>
      </c>
      <c r="AZ11" t="str">
        <f ca="1">'divs nats data base'!$D$275</f>
        <v>flame squad_196</v>
      </c>
      <c r="BF11" t="str">
        <f ca="1">'divs nats data base'!$D$301</f>
        <v>flame squad_196</v>
      </c>
      <c r="BN11" t="str">
        <f ca="1">'divs nats data base'!$D$337</f>
        <v>Jagdpanther_700</v>
      </c>
      <c r="BO11" t="str">
        <f ca="1">'divs nats data base'!$D$348</f>
        <v>Jagdpanther_700</v>
      </c>
      <c r="BP11" t="str">
        <f ca="1">'divs nats data base'!$D$359</f>
        <v>Jagdpanther_700</v>
      </c>
      <c r="BR11" t="str">
        <f ca="1">'divs nats data base'!$D$374</f>
        <v>flame squad_196</v>
      </c>
      <c r="BZ11" t="str">
        <f ca="1">'divs nats data base'!$D$410</f>
        <v>flame squad_196</v>
      </c>
      <c r="CE11" t="str">
        <f ca="1">'divs nats data base'!$D$438</f>
        <v>M3 Stuart_210</v>
      </c>
      <c r="CH11" t="str">
        <f ca="1">'divs nats data base'!$D$457</f>
        <v>flame squad_196</v>
      </c>
      <c r="CN11" t="str">
        <f ca="1">'divs nats data base'!$D$483</f>
        <v>flame squad_196</v>
      </c>
      <c r="CV11" t="str">
        <f ca="1">'divs nats data base'!$D$518</f>
        <v>M4A2 Sherman_375</v>
      </c>
      <c r="CW11" s="200" t="str">
        <f ca="1">'divs nats data base'!$D$530</f>
        <v>M4A2 Sherman_375</v>
      </c>
      <c r="CX11" t="str">
        <f ca="1">'divs nats data base'!$D$542</f>
        <v>M4A2 Sherman_375</v>
      </c>
      <c r="CZ11" t="str">
        <f ca="1">'divs nats data base'!$D$558</f>
        <v>flame squad_196</v>
      </c>
      <c r="DH11" t="str">
        <f ca="1">'divs nats data base'!$D$598</f>
        <v>flame squad_196</v>
      </c>
      <c r="DP11" t="str">
        <f ca="1">'divs nats data base'!$D$644</f>
        <v>flame squad_196</v>
      </c>
      <c r="DV11" t="str">
        <f ca="1">'divs nats data base'!$D$670</f>
        <v>flame squad_196</v>
      </c>
      <c r="ED11">
        <v>0</v>
      </c>
      <c r="EE11">
        <v>0</v>
      </c>
      <c r="EF11">
        <v>0</v>
      </c>
      <c r="EH11" t="str">
        <f ca="1">'divs nats data base'!$D$739</f>
        <v>flame squad_196</v>
      </c>
      <c r="EP11" t="str">
        <f ca="1">'divs nats data base'!$D$781</f>
        <v>flame squad_196</v>
      </c>
      <c r="EX11" t="str">
        <f ca="1">'divs nats data base'!$D$827</f>
        <v>flame squad_196</v>
      </c>
      <c r="FD11" t="str">
        <f ca="1">'divs nats data base'!$D$853</f>
        <v>flame squad_196</v>
      </c>
      <c r="FP11" t="str">
        <f ca="1">'divs nats data base'!$D$915</f>
        <v>flame squad_196</v>
      </c>
      <c r="FX11" t="str">
        <f ca="1">'divs nats data base'!$D$949</f>
        <v>flame squad_196</v>
      </c>
      <c r="GF11" t="str">
        <f ca="1">'divs nats data base'!$D$985</f>
        <v>flame squad_196</v>
      </c>
      <c r="GL11" t="str">
        <f ca="1">'divs nats data base'!$D$1011</f>
        <v>flame squad_196</v>
      </c>
      <c r="GW11">
        <f>'divs nats data base'!$D$1046</f>
        <v>0</v>
      </c>
    </row>
    <row r="12" spans="1:205" x14ac:dyDescent="0.35">
      <c r="B12" t="str">
        <f ca="1">'divs nats data base'!$D$16</f>
        <v>FLAME x2 squad_235</v>
      </c>
      <c r="K12" t="str">
        <f ca="1">'divs nats data base'!$D$55</f>
        <v>FLAME x2 squad_235</v>
      </c>
      <c r="R12" t="str">
        <f ca="1">'divs nats data base'!$D$94</f>
        <v>FLAME x2 squad_235</v>
      </c>
      <c r="X12" t="str">
        <f ca="1">'divs nats data base'!$D$120</f>
        <v>FLAME x2 squad_235</v>
      </c>
      <c r="AF12">
        <v>0</v>
      </c>
      <c r="AG12">
        <v>0</v>
      </c>
      <c r="AH12">
        <v>0</v>
      </c>
      <c r="AJ12" t="str">
        <f ca="1">'divs nats data base'!$D$189</f>
        <v>FLAME x2 squad_235</v>
      </c>
      <c r="AR12" t="str">
        <f ca="1">'divs nats data base'!$D$228</f>
        <v>FLAME x2 squad_235</v>
      </c>
      <c r="AZ12" t="str">
        <f ca="1">'divs nats data base'!$D$276</f>
        <v>FLAME x2 squad_235</v>
      </c>
      <c r="BF12" t="str">
        <f ca="1">'divs nats data base'!$D$302</f>
        <v>FLAME x2 squad_235</v>
      </c>
      <c r="BN12" t="str">
        <f ca="1">'divs nats data base'!$D$338</f>
        <v>King Tiger_970</v>
      </c>
      <c r="BO12" t="str">
        <f ca="1">'divs nats data base'!$D$349</f>
        <v>King Tiger_970</v>
      </c>
      <c r="BP12" t="str">
        <f ca="1">'divs nats data base'!$D$360</f>
        <v>King Tiger_970</v>
      </c>
      <c r="BR12" t="str">
        <f ca="1">'divs nats data base'!$D$375</f>
        <v>FLAME x2 squad_235</v>
      </c>
      <c r="BZ12" t="str">
        <f ca="1">'divs nats data base'!$D$411</f>
        <v>FLAME x2 squad_235</v>
      </c>
      <c r="CE12">
        <v>0</v>
      </c>
      <c r="CH12" t="str">
        <f ca="1">'divs nats data base'!$D$458</f>
        <v>FLAME x2 squad_235</v>
      </c>
      <c r="CN12" t="str">
        <f ca="1">'divs nats data base'!$D$484</f>
        <v>FLAME x2 squad_235</v>
      </c>
      <c r="CV12" s="200" t="str">
        <f ca="1">'divs nats data base'!$D$519</f>
        <v>M4 Firefly_475</v>
      </c>
      <c r="CW12" s="200" t="str">
        <f ca="1">'divs nats data base'!$D$531</f>
        <v>M4 Firefly_475</v>
      </c>
      <c r="CX12" t="str">
        <f ca="1">'divs nats data base'!$D$543</f>
        <v>M4 Firefly_475</v>
      </c>
      <c r="CZ12" t="str">
        <f ca="1">'divs nats data base'!$D$559</f>
        <v>FLAME x2 squad_235</v>
      </c>
      <c r="DH12" t="str">
        <f ca="1">'divs nats data base'!$D$599</f>
        <v>FLAME x2 squad_235</v>
      </c>
      <c r="DP12" t="str">
        <f ca="1">'divs nats data base'!$D$645</f>
        <v>FLAME x2 squad_235</v>
      </c>
      <c r="DV12" t="str">
        <f ca="1">'divs nats data base'!$D$671</f>
        <v>FLAME x2 squad_235</v>
      </c>
      <c r="EH12" t="str">
        <f ca="1">'divs nats data base'!$D$740</f>
        <v>FLAME x2 squad_235</v>
      </c>
      <c r="EP12" t="str">
        <f ca="1">'divs nats data base'!$D$782</f>
        <v>FLAME x2 squad_235</v>
      </c>
      <c r="EX12" t="str">
        <f ca="1">'divs nats data base'!$D$828</f>
        <v>FLAME x2 squad_235</v>
      </c>
      <c r="FD12" t="str">
        <f ca="1">'divs nats data base'!$D$854</f>
        <v>FLAME x2 squad_235</v>
      </c>
      <c r="FP12" t="str">
        <f ca="1">'divs nats data base'!$D$916</f>
        <v>FLAME x2 squad_235</v>
      </c>
      <c r="FX12" t="str">
        <f ca="1">'divs nats data base'!$D$950</f>
        <v>FLAME x2 squad_235</v>
      </c>
      <c r="GF12" t="str">
        <f ca="1">'divs nats data base'!$D$986</f>
        <v>FLAME x2 squad_235</v>
      </c>
      <c r="GL12" t="str">
        <f ca="1">'divs nats data base'!$D$1012</f>
        <v>FLAME x2 squad_235</v>
      </c>
      <c r="GW12">
        <f>'divs nats data base'!$D$1047</f>
        <v>0</v>
      </c>
    </row>
    <row r="13" spans="1:205" x14ac:dyDescent="0.35">
      <c r="B13" t="str">
        <f ca="1">'divs nats data base'!$D$17</f>
        <v>marksman squad_184</v>
      </c>
      <c r="K13" t="str">
        <f ca="1">'divs nats data base'!$D$56</f>
        <v>marksman squad_184</v>
      </c>
      <c r="R13" t="str">
        <f ca="1">'divs nats data base'!$D$95</f>
        <v>marksman squad_184</v>
      </c>
      <c r="X13" t="str">
        <f ca="1">'divs nats data base'!$D$121</f>
        <v>marksman squad_184</v>
      </c>
      <c r="AJ13" t="str">
        <f ca="1">'divs nats data base'!$D$190</f>
        <v>marksman squad_184</v>
      </c>
      <c r="AR13" t="str">
        <f ca="1">'divs nats data base'!$D$229</f>
        <v>marksman squad_184</v>
      </c>
      <c r="AZ13" t="str">
        <f ca="1">'divs nats data base'!$D$277</f>
        <v>marksman squad_184</v>
      </c>
      <c r="BF13" t="str">
        <f ca="1">'divs nats data base'!$D$303</f>
        <v>marksman squad_184</v>
      </c>
      <c r="BN13">
        <v>0</v>
      </c>
      <c r="BO13">
        <v>0</v>
      </c>
      <c r="BP13">
        <v>0</v>
      </c>
      <c r="BR13" t="str">
        <f ca="1">'divs nats data base'!$D$376</f>
        <v>marksman squad_184</v>
      </c>
      <c r="BZ13" t="str">
        <f ca="1">'divs nats data base'!$D$412</f>
        <v>marksman squad_184</v>
      </c>
      <c r="CH13" t="str">
        <f ca="1">'divs nats data base'!$D$459</f>
        <v>marksman squad_184</v>
      </c>
      <c r="CN13" t="str">
        <f ca="1">'divs nats data base'!$D$485</f>
        <v>marksman squad_184</v>
      </c>
      <c r="CV13" s="200" t="str">
        <f ca="1">'divs nats data base'!$D$520</f>
        <v>Churchill_690</v>
      </c>
      <c r="CW13" s="200" t="str">
        <f ca="1">'divs nats data base'!$D$532</f>
        <v>Churchill_690</v>
      </c>
      <c r="CX13" t="str">
        <f ca="1">'divs nats data base'!$D$544</f>
        <v>Churchill_690</v>
      </c>
      <c r="CZ13" t="str">
        <f ca="1">'divs nats data base'!$D$560</f>
        <v>marksman squad_184</v>
      </c>
      <c r="DH13" t="str">
        <f ca="1">'divs nats data base'!$D$600</f>
        <v>marksman squad_184</v>
      </c>
      <c r="DP13" t="str">
        <f ca="1">'divs nats data base'!$D$646</f>
        <v>marksman squad_184</v>
      </c>
      <c r="DV13" t="str">
        <f ca="1">'divs nats data base'!$D$672</f>
        <v>marksman squad_184</v>
      </c>
      <c r="EH13" t="str">
        <f ca="1">'divs nats data base'!$D$741</f>
        <v>marksman squad_184</v>
      </c>
      <c r="EP13" t="str">
        <f ca="1">'divs nats data base'!$D$783</f>
        <v>marksman squad_184</v>
      </c>
      <c r="EX13" t="str">
        <f ca="1">'divs nats data base'!$D$829</f>
        <v>marksman squad_184</v>
      </c>
      <c r="FD13" t="str">
        <f ca="1">'divs nats data base'!$D$855</f>
        <v>marksman squad_184</v>
      </c>
      <c r="FP13" t="str">
        <f ca="1">'divs nats data base'!$D$917</f>
        <v>marksman squad_184</v>
      </c>
      <c r="FX13" t="str">
        <f ca="1">'divs nats data base'!$D$951</f>
        <v>marksman squad_184</v>
      </c>
      <c r="GF13" t="str">
        <f ca="1">'divs nats data base'!$D$987</f>
        <v>marksman squad_184</v>
      </c>
      <c r="GL13" t="str">
        <f ca="1">'divs nats data base'!$D$1013</f>
        <v>marksman squad_184</v>
      </c>
      <c r="GW13">
        <f>'divs nats data base'!$D$1048</f>
        <v>0</v>
      </c>
    </row>
    <row r="14" spans="1:205" x14ac:dyDescent="0.35">
      <c r="B14" t="str">
        <f ca="1">'divs nats data base'!$D$18</f>
        <v>marksman x2 squad_211</v>
      </c>
      <c r="K14" t="str">
        <f ca="1">'divs nats data base'!$D$57</f>
        <v>marksman x2 squad_211</v>
      </c>
      <c r="R14" t="str">
        <f ca="1">'divs nats data base'!$D$96</f>
        <v>marksman x2 squad_211</v>
      </c>
      <c r="X14" t="str">
        <f ca="1">'divs nats data base'!$D$122</f>
        <v>marksman x2 squad_211</v>
      </c>
      <c r="AJ14" t="str">
        <f ca="1">'divs nats data base'!$D$191</f>
        <v>marksman x2 squad_211</v>
      </c>
      <c r="AR14" t="str">
        <f ca="1">'divs nats data base'!$D$230</f>
        <v>marksman x2 squad_211</v>
      </c>
      <c r="AZ14" t="str">
        <f ca="1">'divs nats data base'!$D$278</f>
        <v>marksman x2 squad_211</v>
      </c>
      <c r="BF14" t="str">
        <f ca="1">'divs nats data base'!$D$304</f>
        <v>marksman x2 squad_211</v>
      </c>
      <c r="BR14" t="str">
        <f ca="1">'divs nats data base'!$D$377</f>
        <v>marksman x2 squad_211</v>
      </c>
      <c r="BZ14" t="str">
        <f ca="1">'divs nats data base'!$D$413</f>
        <v>marksman x2 squad_211</v>
      </c>
      <c r="CH14" t="str">
        <f ca="1">'divs nats data base'!$D$460</f>
        <v>marksman x2 squad_211</v>
      </c>
      <c r="CN14" t="str">
        <f ca="1">'divs nats data base'!$D$486</f>
        <v>marksman x2 squad_211</v>
      </c>
      <c r="CV14">
        <v>0</v>
      </c>
      <c r="CW14">
        <v>0</v>
      </c>
      <c r="CX14">
        <v>0</v>
      </c>
      <c r="CZ14" t="str">
        <f ca="1">'divs nats data base'!$D$561</f>
        <v>marksman x2 squad_211</v>
      </c>
      <c r="DH14" t="str">
        <f ca="1">'divs nats data base'!$D$601</f>
        <v>marksman x2 squad_211</v>
      </c>
      <c r="DP14" t="str">
        <f ca="1">'divs nats data base'!$D$647</f>
        <v>marksman x2 squad_211</v>
      </c>
      <c r="DV14" t="str">
        <f ca="1">'divs nats data base'!$D$673</f>
        <v>marksman x2 squad_211</v>
      </c>
      <c r="EH14" t="str">
        <f ca="1">'divs nats data base'!$D$742</f>
        <v>marksman x2 squad_211</v>
      </c>
      <c r="EP14" t="str">
        <f ca="1">'divs nats data base'!$D$784</f>
        <v>marksman x2 squad_211</v>
      </c>
      <c r="EX14" t="str">
        <f ca="1">'divs nats data base'!$D$830</f>
        <v>marksman x2 squad_211</v>
      </c>
      <c r="FD14" t="str">
        <f ca="1">'divs nats data base'!$D$856</f>
        <v>marksman x2 squad_211</v>
      </c>
      <c r="FP14" t="str">
        <f ca="1">'divs nats data base'!$D$918</f>
        <v>marksman x2 squad_211</v>
      </c>
      <c r="FX14" t="str">
        <f ca="1">'divs nats data base'!$D$952</f>
        <v>marksman x2 squad_211</v>
      </c>
      <c r="GF14" t="str">
        <f ca="1">'divs nats data base'!$D$988</f>
        <v>marksman x2 squad_211</v>
      </c>
      <c r="GL14" t="str">
        <f ca="1">'divs nats data base'!$D$1014</f>
        <v>marksman x2 squad_211</v>
      </c>
      <c r="GW14">
        <f>'divs nats data base'!$D$1049</f>
        <v>0</v>
      </c>
    </row>
    <row r="15" spans="1:205" x14ac:dyDescent="0.35">
      <c r="B15">
        <v>0</v>
      </c>
      <c r="K15">
        <v>0</v>
      </c>
      <c r="R15">
        <v>0</v>
      </c>
      <c r="X15">
        <v>0</v>
      </c>
      <c r="AJ15">
        <v>0</v>
      </c>
      <c r="AR15">
        <v>0</v>
      </c>
      <c r="AZ15">
        <v>0</v>
      </c>
      <c r="BF15">
        <v>0</v>
      </c>
      <c r="BR15">
        <v>0</v>
      </c>
      <c r="BZ15">
        <v>0</v>
      </c>
      <c r="CH15">
        <v>0</v>
      </c>
      <c r="CN15">
        <v>0</v>
      </c>
      <c r="CZ15">
        <v>0</v>
      </c>
      <c r="DH15">
        <v>0</v>
      </c>
      <c r="DP15">
        <v>0</v>
      </c>
      <c r="DV15">
        <v>0</v>
      </c>
      <c r="EH15">
        <v>0</v>
      </c>
      <c r="EP15">
        <v>0</v>
      </c>
      <c r="EX15">
        <v>0</v>
      </c>
      <c r="FD15">
        <v>0</v>
      </c>
      <c r="FP15">
        <v>0</v>
      </c>
      <c r="FX15">
        <v>0</v>
      </c>
      <c r="GF15">
        <v>0</v>
      </c>
      <c r="GL15">
        <v>0</v>
      </c>
      <c r="GW15">
        <f>'divs nats data base'!$D$1050</f>
        <v>0</v>
      </c>
    </row>
    <row r="16" spans="1:205" x14ac:dyDescent="0.35">
      <c r="GW16">
        <f>'divs nats data base'!$D$1051</f>
        <v>0</v>
      </c>
    </row>
    <row r="17" spans="205:205" x14ac:dyDescent="0.35">
      <c r="GW17">
        <f>'divs nats data base'!$D$1052</f>
        <v>0</v>
      </c>
    </row>
    <row r="18" spans="205:205" x14ac:dyDescent="0.35">
      <c r="GW18">
        <f>'divs nats data base'!$D$1053</f>
        <v>0</v>
      </c>
    </row>
    <row r="19" spans="205:205" x14ac:dyDescent="0.35">
      <c r="GW19">
        <f>'divs nats data base'!$D$1054</f>
        <v>0</v>
      </c>
    </row>
    <row r="20" spans="205:205" x14ac:dyDescent="0.35">
      <c r="GW20">
        <f>'divs nats data base'!$D$1055</f>
        <v>0</v>
      </c>
    </row>
    <row r="21" spans="205:205" x14ac:dyDescent="0.35">
      <c r="GW21">
        <f>'divs nats data base'!$D$1056</f>
        <v>0</v>
      </c>
    </row>
    <row r="22" spans="205:205" x14ac:dyDescent="0.35">
      <c r="GW22">
        <f>'divs nats data base'!$D$1057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1057"/>
  <sheetViews>
    <sheetView workbookViewId="0">
      <selection activeCell="G38" sqref="G38"/>
    </sheetView>
  </sheetViews>
  <sheetFormatPr defaultRowHeight="14.5" x14ac:dyDescent="0.35"/>
  <cols>
    <col min="1" max="1" width="15.6328125" customWidth="1"/>
    <col min="2" max="2" width="16.26953125" customWidth="1"/>
    <col min="3" max="3" width="16.90625" customWidth="1"/>
    <col min="4" max="4" width="40.7265625" customWidth="1"/>
    <col min="5" max="5" width="10.26953125" customWidth="1"/>
    <col min="6" max="6" width="19.54296875" customWidth="1"/>
    <col min="7" max="14" width="11.26953125" customWidth="1"/>
  </cols>
  <sheetData>
    <row r="1" spans="1:15" x14ac:dyDescent="0.35">
      <c r="A1" t="s">
        <v>369</v>
      </c>
      <c r="B1" t="s">
        <v>370</v>
      </c>
      <c r="C1" t="s">
        <v>371</v>
      </c>
      <c r="D1" t="s">
        <v>372</v>
      </c>
      <c r="E1" t="s">
        <v>65</v>
      </c>
      <c r="G1" s="1" t="s">
        <v>500</v>
      </c>
      <c r="I1" s="1" t="s">
        <v>503</v>
      </c>
    </row>
    <row r="2" spans="1:15" x14ac:dyDescent="0.35">
      <c r="A2" t="s">
        <v>72</v>
      </c>
      <c r="B2" t="s">
        <v>86</v>
      </c>
      <c r="C2" s="64" t="s">
        <v>368</v>
      </c>
      <c r="D2" t="str">
        <f ca="1">'unit calc'!A32</f>
        <v>rifle squad_250</v>
      </c>
      <c r="G2" s="142" t="s">
        <v>368</v>
      </c>
      <c r="I2" t="s">
        <v>504</v>
      </c>
    </row>
    <row r="3" spans="1:15" x14ac:dyDescent="0.35">
      <c r="A3" t="s">
        <v>72</v>
      </c>
      <c r="B3" t="s">
        <v>86</v>
      </c>
      <c r="C3" s="64" t="s">
        <v>368</v>
      </c>
      <c r="D3" t="str">
        <f ca="1">'unit calc'!A33</f>
        <v>assault squad_205</v>
      </c>
      <c r="G3" s="142" t="s">
        <v>106</v>
      </c>
      <c r="I3" t="s">
        <v>548</v>
      </c>
    </row>
    <row r="4" spans="1:15" x14ac:dyDescent="0.35">
      <c r="A4" t="s">
        <v>72</v>
      </c>
      <c r="B4" t="s">
        <v>86</v>
      </c>
      <c r="C4" s="64" t="s">
        <v>368</v>
      </c>
      <c r="D4" t="str">
        <f ca="1">'unit calc'!A34</f>
        <v>gun squad_243</v>
      </c>
      <c r="G4" s="142" t="s">
        <v>365</v>
      </c>
    </row>
    <row r="5" spans="1:15" x14ac:dyDescent="0.35">
      <c r="A5" t="s">
        <v>72</v>
      </c>
      <c r="B5" t="s">
        <v>86</v>
      </c>
      <c r="C5" s="64" t="s">
        <v>368</v>
      </c>
      <c r="D5" t="str">
        <f ca="1">'unit calc'!A35</f>
        <v>recon squad_171</v>
      </c>
      <c r="G5" s="135" t="s">
        <v>576</v>
      </c>
    </row>
    <row r="6" spans="1:15" x14ac:dyDescent="0.35">
      <c r="A6" t="s">
        <v>72</v>
      </c>
      <c r="B6" t="s">
        <v>86</v>
      </c>
      <c r="C6" s="64" t="s">
        <v>106</v>
      </c>
      <c r="D6" t="str">
        <f ca="1">'unit calc'!A129</f>
        <v>mortar squad_209</v>
      </c>
      <c r="G6" s="135" t="s">
        <v>577</v>
      </c>
    </row>
    <row r="7" spans="1:15" x14ac:dyDescent="0.35">
      <c r="A7" t="s">
        <v>72</v>
      </c>
      <c r="B7" t="s">
        <v>86</v>
      </c>
      <c r="C7" s="64" t="s">
        <v>106</v>
      </c>
      <c r="D7" t="str">
        <f ca="1">'unit calc'!A130</f>
        <v>mortar x2 squad_261</v>
      </c>
      <c r="G7" s="135" t="s">
        <v>578</v>
      </c>
      <c r="O7" t="s">
        <v>74</v>
      </c>
    </row>
    <row r="8" spans="1:15" x14ac:dyDescent="0.35">
      <c r="A8" t="s">
        <v>72</v>
      </c>
      <c r="B8" t="s">
        <v>86</v>
      </c>
      <c r="C8" s="64" t="s">
        <v>106</v>
      </c>
      <c r="D8" t="str">
        <f ca="1">'unit calc'!A131</f>
        <v>MPAT squad_179</v>
      </c>
      <c r="G8" s="135" t="s">
        <v>50</v>
      </c>
    </row>
    <row r="9" spans="1:15" x14ac:dyDescent="0.35">
      <c r="A9" t="s">
        <v>72</v>
      </c>
      <c r="B9" t="s">
        <v>86</v>
      </c>
      <c r="C9" s="64" t="s">
        <v>106</v>
      </c>
      <c r="D9" t="str">
        <f ca="1">'unit calc'!A132</f>
        <v>MPAT x2 squad_201</v>
      </c>
    </row>
    <row r="10" spans="1:15" x14ac:dyDescent="0.35">
      <c r="A10" t="s">
        <v>72</v>
      </c>
      <c r="B10" t="s">
        <v>86</v>
      </c>
      <c r="C10" s="64" t="s">
        <v>106</v>
      </c>
      <c r="D10" t="str">
        <f ca="1">'unit calc'!A133</f>
        <v>MMG squad_186</v>
      </c>
    </row>
    <row r="11" spans="1:15" x14ac:dyDescent="0.35">
      <c r="A11" t="s">
        <v>72</v>
      </c>
      <c r="B11" t="s">
        <v>86</v>
      </c>
      <c r="C11" s="64" t="s">
        <v>106</v>
      </c>
      <c r="D11" t="str">
        <f ca="1">'unit calc'!A134</f>
        <v>MMG x2 squad_215</v>
      </c>
      <c r="G11" s="1" t="s">
        <v>674</v>
      </c>
    </row>
    <row r="12" spans="1:15" x14ac:dyDescent="0.35">
      <c r="A12" t="s">
        <v>72</v>
      </c>
      <c r="B12" t="s">
        <v>86</v>
      </c>
      <c r="C12" s="64" t="s">
        <v>106</v>
      </c>
      <c r="D12" t="str">
        <f ca="1">'unit calc'!A135</f>
        <v>MMG, HMG squad_222</v>
      </c>
      <c r="G12" s="142" t="s">
        <v>368</v>
      </c>
    </row>
    <row r="13" spans="1:15" x14ac:dyDescent="0.35">
      <c r="A13" t="s">
        <v>72</v>
      </c>
      <c r="B13" t="s">
        <v>86</v>
      </c>
      <c r="C13" s="64" t="s">
        <v>106</v>
      </c>
      <c r="D13" t="str">
        <f ca="1">'unit calc'!A136</f>
        <v>HMG_193</v>
      </c>
      <c r="G13" s="142" t="s">
        <v>106</v>
      </c>
    </row>
    <row r="14" spans="1:15" x14ac:dyDescent="0.35">
      <c r="A14" t="s">
        <v>72</v>
      </c>
      <c r="B14" t="s">
        <v>86</v>
      </c>
      <c r="C14" s="64" t="s">
        <v>106</v>
      </c>
      <c r="D14" t="str">
        <f ca="1">'unit calc'!A137</f>
        <v>HMG x2 squad_229</v>
      </c>
      <c r="G14" s="142" t="s">
        <v>365</v>
      </c>
    </row>
    <row r="15" spans="1:15" x14ac:dyDescent="0.35">
      <c r="A15" t="s">
        <v>72</v>
      </c>
      <c r="B15" t="s">
        <v>86</v>
      </c>
      <c r="C15" s="64" t="s">
        <v>106</v>
      </c>
      <c r="D15" t="str">
        <f ca="1">'unit calc'!A138</f>
        <v>flame squad_196</v>
      </c>
      <c r="G15" s="135" t="s">
        <v>576</v>
      </c>
    </row>
    <row r="16" spans="1:15" x14ac:dyDescent="0.35">
      <c r="A16" t="s">
        <v>72</v>
      </c>
      <c r="B16" t="s">
        <v>86</v>
      </c>
      <c r="C16" s="64" t="s">
        <v>106</v>
      </c>
      <c r="D16" t="str">
        <f ca="1">'unit calc'!A139</f>
        <v>FLAME x2 squad_235</v>
      </c>
      <c r="G16" s="135" t="s">
        <v>50</v>
      </c>
    </row>
    <row r="17" spans="1:4" x14ac:dyDescent="0.35">
      <c r="A17" t="s">
        <v>72</v>
      </c>
      <c r="B17" t="s">
        <v>86</v>
      </c>
      <c r="C17" s="64" t="s">
        <v>106</v>
      </c>
      <c r="D17" t="str">
        <f ca="1">'unit calc'!A140</f>
        <v>marksman squad_184</v>
      </c>
    </row>
    <row r="18" spans="1:4" x14ac:dyDescent="0.35">
      <c r="A18" t="s">
        <v>72</v>
      </c>
      <c r="B18" t="s">
        <v>86</v>
      </c>
      <c r="C18" s="64" t="s">
        <v>106</v>
      </c>
      <c r="D18" t="str">
        <f ca="1">'unit calc'!A141</f>
        <v>marksman x2 squad_211</v>
      </c>
    </row>
    <row r="19" spans="1:4" x14ac:dyDescent="0.35">
      <c r="A19" t="s">
        <v>72</v>
      </c>
      <c r="B19" t="s">
        <v>86</v>
      </c>
      <c r="C19" s="64" t="str">
        <f>G5</f>
        <v>special_forces_1</v>
      </c>
      <c r="D19" s="197" t="str">
        <f ca="1">'unit calc'!A226</f>
        <v>experienced, _72</v>
      </c>
    </row>
    <row r="20" spans="1:4" x14ac:dyDescent="0.35">
      <c r="A20" t="s">
        <v>72</v>
      </c>
      <c r="B20" t="s">
        <v>86</v>
      </c>
      <c r="C20" s="64" t="str">
        <f>G6</f>
        <v>special_forces_2</v>
      </c>
      <c r="D20" s="197" t="str">
        <f ca="1">'unit calc'!A227</f>
        <v>experienced, _72</v>
      </c>
    </row>
    <row r="21" spans="1:4" x14ac:dyDescent="0.35">
      <c r="A21" t="s">
        <v>72</v>
      </c>
      <c r="B21" t="s">
        <v>86</v>
      </c>
      <c r="C21" s="64" t="s">
        <v>504</v>
      </c>
      <c r="D21" s="197" t="str">
        <f ca="1">'unit calc'!A40</f>
        <v>mmg team_75</v>
      </c>
    </row>
    <row r="22" spans="1:4" x14ac:dyDescent="0.35">
      <c r="A22" t="s">
        <v>72</v>
      </c>
      <c r="B22" t="s">
        <v>86</v>
      </c>
      <c r="C22" s="64" t="s">
        <v>504</v>
      </c>
      <c r="D22" s="197" t="str">
        <f ca="1">'unit calc'!A41</f>
        <v>hmg team_82</v>
      </c>
    </row>
    <row r="23" spans="1:4" x14ac:dyDescent="0.35">
      <c r="A23" t="s">
        <v>72</v>
      </c>
      <c r="B23" t="s">
        <v>86</v>
      </c>
      <c r="C23" s="64" t="s">
        <v>504</v>
      </c>
      <c r="D23" s="197" t="str">
        <f ca="1">'unit calc'!A42</f>
        <v>sniper_60</v>
      </c>
    </row>
    <row r="24" spans="1:4" x14ac:dyDescent="0.35">
      <c r="A24" t="s">
        <v>72</v>
      </c>
      <c r="B24" t="s">
        <v>86</v>
      </c>
      <c r="C24" s="64" t="s">
        <v>504</v>
      </c>
      <c r="D24" s="197" t="str">
        <f ca="1">'unit calc'!A43</f>
        <v>mpat team_68</v>
      </c>
    </row>
    <row r="25" spans="1:4" x14ac:dyDescent="0.35">
      <c r="A25" t="s">
        <v>72</v>
      </c>
      <c r="B25" t="s">
        <v>86</v>
      </c>
      <c r="C25" s="64" t="s">
        <v>504</v>
      </c>
      <c r="D25" s="197" t="str">
        <f ca="1">'unit calc'!A44</f>
        <v>flame thrower team_85</v>
      </c>
    </row>
    <row r="26" spans="1:4" x14ac:dyDescent="0.35">
      <c r="A26" t="s">
        <v>72</v>
      </c>
      <c r="B26" t="s">
        <v>86</v>
      </c>
      <c r="C26" s="64" t="s">
        <v>504</v>
      </c>
      <c r="D26" s="197" t="str">
        <f ca="1">'unit calc'!A45</f>
        <v>mortar team_98</v>
      </c>
    </row>
    <row r="27" spans="1:4" x14ac:dyDescent="0.35">
      <c r="A27" t="s">
        <v>72</v>
      </c>
      <c r="B27" t="s">
        <v>86</v>
      </c>
      <c r="C27" s="64" t="str">
        <f>I3</f>
        <v>feild_gun</v>
      </c>
      <c r="D27" s="197" t="str">
        <f ca="1">'unit calc'!A171</f>
        <v>20mm hispano_48</v>
      </c>
    </row>
    <row r="28" spans="1:4" x14ac:dyDescent="0.35">
      <c r="A28" t="s">
        <v>72</v>
      </c>
      <c r="B28" t="s">
        <v>86</v>
      </c>
      <c r="C28" s="64" t="str">
        <f>I3</f>
        <v>feild_gun</v>
      </c>
      <c r="D28" s="197" t="str">
        <f ca="1">'unit calc'!A172</f>
        <v>37mm M3_32</v>
      </c>
    </row>
    <row r="29" spans="1:4" x14ac:dyDescent="0.35">
      <c r="A29" t="s">
        <v>72</v>
      </c>
      <c r="B29" t="s">
        <v>86</v>
      </c>
      <c r="C29" s="64" t="str">
        <f>I3</f>
        <v>feild_gun</v>
      </c>
      <c r="D29" s="197" t="str">
        <f ca="1">'unit calc'!A173</f>
        <v>57mm M1_54</v>
      </c>
    </row>
    <row r="30" spans="1:4" x14ac:dyDescent="0.35">
      <c r="A30" t="s">
        <v>72</v>
      </c>
      <c r="B30" t="s">
        <v>86</v>
      </c>
      <c r="C30" s="64" t="str">
        <f>I3</f>
        <v>feild_gun</v>
      </c>
      <c r="D30" s="197" t="str">
        <f ca="1">'unit calc'!A174</f>
        <v>76mm M5/M7_102</v>
      </c>
    </row>
    <row r="31" spans="1:4" x14ac:dyDescent="0.35">
      <c r="A31" t="s">
        <v>72</v>
      </c>
      <c r="B31" t="s">
        <v>86</v>
      </c>
      <c r="C31" s="13" t="s">
        <v>365</v>
      </c>
      <c r="D31" t="str">
        <f ca="1">'unit calc'!A201</f>
        <v>20mm hispano_152</v>
      </c>
    </row>
    <row r="32" spans="1:4" x14ac:dyDescent="0.35">
      <c r="A32" t="s">
        <v>72</v>
      </c>
      <c r="B32" t="s">
        <v>86</v>
      </c>
      <c r="C32" s="13" t="s">
        <v>365</v>
      </c>
      <c r="D32" t="str">
        <f ca="1">'unit calc'!A202</f>
        <v>37mm M3_136</v>
      </c>
    </row>
    <row r="33" spans="1:4" x14ac:dyDescent="0.35">
      <c r="A33" t="s">
        <v>72</v>
      </c>
      <c r="B33" t="s">
        <v>86</v>
      </c>
      <c r="C33" s="13" t="s">
        <v>365</v>
      </c>
      <c r="D33" t="str">
        <f ca="1">'unit calc'!A203</f>
        <v>57mm M1_171</v>
      </c>
    </row>
    <row r="34" spans="1:4" x14ac:dyDescent="0.35">
      <c r="A34" t="s">
        <v>72</v>
      </c>
      <c r="B34" t="s">
        <v>86</v>
      </c>
      <c r="C34" s="13" t="s">
        <v>365</v>
      </c>
      <c r="D34" t="str">
        <f ca="1">'unit calc'!A204</f>
        <v>76mm M5/M7_219</v>
      </c>
    </row>
    <row r="35" spans="1:4" x14ac:dyDescent="0.35">
      <c r="A35" t="s">
        <v>72</v>
      </c>
      <c r="B35" t="s">
        <v>86</v>
      </c>
      <c r="C35" s="13" t="s">
        <v>50</v>
      </c>
      <c r="D35" s="197" t="str">
        <f ca="1">'unit calc'!A57</f>
        <v>jeep_16</v>
      </c>
    </row>
    <row r="36" spans="1:4" x14ac:dyDescent="0.35">
      <c r="A36" t="s">
        <v>72</v>
      </c>
      <c r="B36" t="s">
        <v>86</v>
      </c>
      <c r="C36" s="13" t="s">
        <v>50</v>
      </c>
      <c r="D36" s="197" t="str">
        <f ca="1">'unit calc'!A58</f>
        <v>truck_34</v>
      </c>
    </row>
    <row r="37" spans="1:4" x14ac:dyDescent="0.35">
      <c r="A37" t="s">
        <v>72</v>
      </c>
      <c r="B37" t="s">
        <v>86</v>
      </c>
      <c r="C37" s="13" t="s">
        <v>50</v>
      </c>
      <c r="D37" s="197" t="str">
        <f ca="1">'unit calc'!A60</f>
        <v>armoured car_95</v>
      </c>
    </row>
    <row r="38" spans="1:4" x14ac:dyDescent="0.35">
      <c r="A38" t="s">
        <v>72</v>
      </c>
      <c r="B38" t="s">
        <v>13</v>
      </c>
      <c r="C38" s="13" t="str">
        <f>G8</f>
        <v>vehicle</v>
      </c>
      <c r="D38" s="197" t="str">
        <f ca="1">'unit calc'!A75</f>
        <v>Humber AC_150</v>
      </c>
    </row>
    <row r="39" spans="1:4" x14ac:dyDescent="0.35">
      <c r="A39" t="s">
        <v>72</v>
      </c>
      <c r="B39" t="s">
        <v>13</v>
      </c>
      <c r="C39" s="13" t="str">
        <f>G8</f>
        <v>vehicle</v>
      </c>
      <c r="D39" s="197" t="str">
        <f ca="1">'unit calc'!A78</f>
        <v>M24 Chaffee_220</v>
      </c>
    </row>
    <row r="40" spans="1:4" x14ac:dyDescent="0.35">
      <c r="A40" t="s">
        <v>72</v>
      </c>
      <c r="B40" t="s">
        <v>13</v>
      </c>
      <c r="C40" s="13" t="str">
        <f>G8</f>
        <v>vehicle</v>
      </c>
      <c r="D40" s="197" t="str">
        <f ca="1">'unit calc'!A79</f>
        <v>M3 Stuart_210</v>
      </c>
    </row>
    <row r="41" spans="1:4" x14ac:dyDescent="0.35">
      <c r="A41" t="s">
        <v>72</v>
      </c>
      <c r="B41" t="s">
        <v>13</v>
      </c>
      <c r="C41" s="64" t="s">
        <v>368</v>
      </c>
      <c r="D41" t="str">
        <f ca="1">'unit calc'!A32</f>
        <v>rifle squad_250</v>
      </c>
    </row>
    <row r="42" spans="1:4" x14ac:dyDescent="0.35">
      <c r="A42" t="s">
        <v>72</v>
      </c>
      <c r="B42" t="s">
        <v>13</v>
      </c>
      <c r="C42" s="64" t="s">
        <v>368</v>
      </c>
      <c r="D42" t="str">
        <f ca="1">'unit calc'!A33</f>
        <v>assault squad_205</v>
      </c>
    </row>
    <row r="43" spans="1:4" x14ac:dyDescent="0.35">
      <c r="A43" t="s">
        <v>72</v>
      </c>
      <c r="B43" t="s">
        <v>13</v>
      </c>
      <c r="C43" s="64" t="s">
        <v>368</v>
      </c>
      <c r="D43" t="str">
        <f ca="1">'unit calc'!A34</f>
        <v>gun squad_243</v>
      </c>
    </row>
    <row r="44" spans="1:4" x14ac:dyDescent="0.35">
      <c r="A44" t="s">
        <v>72</v>
      </c>
      <c r="B44" t="s">
        <v>13</v>
      </c>
      <c r="C44" s="64" t="s">
        <v>368</v>
      </c>
      <c r="D44" t="str">
        <f ca="1">'unit calc'!A35</f>
        <v>recon squad_171</v>
      </c>
    </row>
    <row r="45" spans="1:4" x14ac:dyDescent="0.35">
      <c r="A45" t="s">
        <v>72</v>
      </c>
      <c r="B45" t="s">
        <v>13</v>
      </c>
      <c r="C45" s="64" t="s">
        <v>106</v>
      </c>
      <c r="D45" t="str">
        <f ca="1">'unit calc'!A129</f>
        <v>mortar squad_209</v>
      </c>
    </row>
    <row r="46" spans="1:4" x14ac:dyDescent="0.35">
      <c r="A46" t="s">
        <v>72</v>
      </c>
      <c r="B46" t="s">
        <v>13</v>
      </c>
      <c r="C46" s="64" t="s">
        <v>106</v>
      </c>
      <c r="D46" t="str">
        <f ca="1">'unit calc'!A130</f>
        <v>mortar x2 squad_261</v>
      </c>
    </row>
    <row r="47" spans="1:4" x14ac:dyDescent="0.35">
      <c r="A47" t="s">
        <v>72</v>
      </c>
      <c r="B47" t="s">
        <v>13</v>
      </c>
      <c r="C47" s="64" t="s">
        <v>106</v>
      </c>
      <c r="D47" t="str">
        <f ca="1">'unit calc'!A131</f>
        <v>MPAT squad_179</v>
      </c>
    </row>
    <row r="48" spans="1:4" x14ac:dyDescent="0.35">
      <c r="A48" t="s">
        <v>72</v>
      </c>
      <c r="B48" t="s">
        <v>13</v>
      </c>
      <c r="C48" s="64" t="s">
        <v>106</v>
      </c>
      <c r="D48" t="str">
        <f ca="1">'unit calc'!A132</f>
        <v>MPAT x2 squad_201</v>
      </c>
    </row>
    <row r="49" spans="1:4" x14ac:dyDescent="0.35">
      <c r="A49" t="s">
        <v>72</v>
      </c>
      <c r="B49" t="s">
        <v>13</v>
      </c>
      <c r="C49" s="64" t="s">
        <v>106</v>
      </c>
      <c r="D49" t="str">
        <f ca="1">'unit calc'!A133</f>
        <v>MMG squad_186</v>
      </c>
    </row>
    <row r="50" spans="1:4" x14ac:dyDescent="0.35">
      <c r="A50" t="s">
        <v>72</v>
      </c>
      <c r="B50" t="s">
        <v>13</v>
      </c>
      <c r="C50" s="64" t="s">
        <v>106</v>
      </c>
      <c r="D50" t="str">
        <f ca="1">'unit calc'!A134</f>
        <v>MMG x2 squad_215</v>
      </c>
    </row>
    <row r="51" spans="1:4" x14ac:dyDescent="0.35">
      <c r="A51" t="s">
        <v>72</v>
      </c>
      <c r="B51" t="s">
        <v>13</v>
      </c>
      <c r="C51" s="64" t="s">
        <v>106</v>
      </c>
      <c r="D51" t="str">
        <f ca="1">'unit calc'!A135</f>
        <v>MMG, HMG squad_222</v>
      </c>
    </row>
    <row r="52" spans="1:4" x14ac:dyDescent="0.35">
      <c r="A52" t="s">
        <v>72</v>
      </c>
      <c r="B52" t="s">
        <v>13</v>
      </c>
      <c r="C52" s="64" t="s">
        <v>106</v>
      </c>
      <c r="D52" t="str">
        <f ca="1">'unit calc'!A136</f>
        <v>HMG_193</v>
      </c>
    </row>
    <row r="53" spans="1:4" x14ac:dyDescent="0.35">
      <c r="A53" t="s">
        <v>72</v>
      </c>
      <c r="B53" t="s">
        <v>13</v>
      </c>
      <c r="C53" s="64" t="s">
        <v>106</v>
      </c>
      <c r="D53" t="str">
        <f ca="1">'unit calc'!A137</f>
        <v>HMG x2 squad_229</v>
      </c>
    </row>
    <row r="54" spans="1:4" x14ac:dyDescent="0.35">
      <c r="A54" t="s">
        <v>72</v>
      </c>
      <c r="B54" t="s">
        <v>13</v>
      </c>
      <c r="C54" s="64" t="s">
        <v>106</v>
      </c>
      <c r="D54" t="str">
        <f ca="1">'unit calc'!A138</f>
        <v>flame squad_196</v>
      </c>
    </row>
    <row r="55" spans="1:4" x14ac:dyDescent="0.35">
      <c r="A55" t="s">
        <v>72</v>
      </c>
      <c r="B55" t="s">
        <v>13</v>
      </c>
      <c r="C55" s="64" t="s">
        <v>106</v>
      </c>
      <c r="D55" t="str">
        <f ca="1">'unit calc'!A139</f>
        <v>FLAME x2 squad_235</v>
      </c>
    </row>
    <row r="56" spans="1:4" x14ac:dyDescent="0.35">
      <c r="A56" t="s">
        <v>72</v>
      </c>
      <c r="B56" t="s">
        <v>13</v>
      </c>
      <c r="C56" s="64" t="s">
        <v>106</v>
      </c>
      <c r="D56" t="str">
        <f ca="1">'unit calc'!A140</f>
        <v>marksman squad_184</v>
      </c>
    </row>
    <row r="57" spans="1:4" x14ac:dyDescent="0.35">
      <c r="A57" t="s">
        <v>72</v>
      </c>
      <c r="B57" t="s">
        <v>13</v>
      </c>
      <c r="C57" s="64" t="s">
        <v>106</v>
      </c>
      <c r="D57" t="str">
        <f ca="1">'unit calc'!A141</f>
        <v>marksman x2 squad_211</v>
      </c>
    </row>
    <row r="58" spans="1:4" x14ac:dyDescent="0.35">
      <c r="A58" t="s">
        <v>72</v>
      </c>
      <c r="B58" t="s">
        <v>13</v>
      </c>
      <c r="C58" s="64" t="s">
        <v>504</v>
      </c>
      <c r="D58" s="197" t="str">
        <f ca="1">'unit calc'!A40</f>
        <v>mmg team_75</v>
      </c>
    </row>
    <row r="59" spans="1:4" x14ac:dyDescent="0.35">
      <c r="A59" t="s">
        <v>72</v>
      </c>
      <c r="B59" t="s">
        <v>13</v>
      </c>
      <c r="C59" s="64" t="s">
        <v>504</v>
      </c>
      <c r="D59" s="197" t="str">
        <f ca="1">'unit calc'!A41</f>
        <v>hmg team_82</v>
      </c>
    </row>
    <row r="60" spans="1:4" x14ac:dyDescent="0.35">
      <c r="A60" t="s">
        <v>72</v>
      </c>
      <c r="B60" t="s">
        <v>13</v>
      </c>
      <c r="C60" s="64" t="s">
        <v>504</v>
      </c>
      <c r="D60" s="197" t="str">
        <f ca="1">'unit calc'!A42</f>
        <v>sniper_60</v>
      </c>
    </row>
    <row r="61" spans="1:4" x14ac:dyDescent="0.35">
      <c r="A61" t="s">
        <v>72</v>
      </c>
      <c r="B61" t="s">
        <v>13</v>
      </c>
      <c r="C61" s="64" t="s">
        <v>504</v>
      </c>
      <c r="D61" s="197" t="str">
        <f ca="1">'unit calc'!A43</f>
        <v>mpat team_68</v>
      </c>
    </row>
    <row r="62" spans="1:4" x14ac:dyDescent="0.35">
      <c r="A62" t="s">
        <v>72</v>
      </c>
      <c r="B62" t="s">
        <v>13</v>
      </c>
      <c r="C62" s="64" t="s">
        <v>504</v>
      </c>
      <c r="D62" s="197" t="str">
        <f ca="1">'unit calc'!A44</f>
        <v>flame thrower team_85</v>
      </c>
    </row>
    <row r="63" spans="1:4" x14ac:dyDescent="0.35">
      <c r="A63" t="s">
        <v>72</v>
      </c>
      <c r="B63" t="s">
        <v>13</v>
      </c>
      <c r="C63" s="64" t="s">
        <v>504</v>
      </c>
      <c r="D63" s="197" t="str">
        <f ca="1">'unit calc'!A45</f>
        <v>mortar team_98</v>
      </c>
    </row>
    <row r="64" spans="1:4" x14ac:dyDescent="0.35">
      <c r="A64" t="s">
        <v>72</v>
      </c>
      <c r="B64" t="s">
        <v>13</v>
      </c>
      <c r="C64" t="str">
        <f>I3</f>
        <v>feild_gun</v>
      </c>
      <c r="D64" s="197" t="str">
        <f ca="1">'unit calc'!A171</f>
        <v>20mm hispano_48</v>
      </c>
    </row>
    <row r="65" spans="1:4" x14ac:dyDescent="0.35">
      <c r="A65" t="s">
        <v>72</v>
      </c>
      <c r="B65" t="s">
        <v>13</v>
      </c>
      <c r="C65" t="str">
        <f>I3</f>
        <v>feild_gun</v>
      </c>
      <c r="D65" s="197" t="str">
        <f ca="1">'unit calc'!A172</f>
        <v>37mm M3_32</v>
      </c>
    </row>
    <row r="66" spans="1:4" x14ac:dyDescent="0.35">
      <c r="A66" t="s">
        <v>72</v>
      </c>
      <c r="B66" t="s">
        <v>13</v>
      </c>
      <c r="C66" t="str">
        <f>I3</f>
        <v>feild_gun</v>
      </c>
      <c r="D66" s="197" t="str">
        <f ca="1">'unit calc'!A173</f>
        <v>57mm M1_54</v>
      </c>
    </row>
    <row r="67" spans="1:4" x14ac:dyDescent="0.35">
      <c r="A67" t="s">
        <v>72</v>
      </c>
      <c r="B67" t="s">
        <v>13</v>
      </c>
      <c r="C67" t="str">
        <f>I3</f>
        <v>feild_gun</v>
      </c>
      <c r="D67" s="197" t="str">
        <f ca="1">'unit calc'!A174</f>
        <v>76mm M5/M7_102</v>
      </c>
    </row>
    <row r="68" spans="1:4" x14ac:dyDescent="0.35">
      <c r="A68" t="s">
        <v>72</v>
      </c>
      <c r="B68" t="s">
        <v>13</v>
      </c>
      <c r="C68" s="13" t="s">
        <v>365</v>
      </c>
      <c r="D68" t="str">
        <f ca="1">'unit calc'!A201</f>
        <v>20mm hispano_152</v>
      </c>
    </row>
    <row r="69" spans="1:4" x14ac:dyDescent="0.35">
      <c r="A69" t="s">
        <v>72</v>
      </c>
      <c r="B69" t="s">
        <v>13</v>
      </c>
      <c r="C69" s="13" t="s">
        <v>365</v>
      </c>
      <c r="D69" t="str">
        <f ca="1">'unit calc'!A202</f>
        <v>37mm M3_136</v>
      </c>
    </row>
    <row r="70" spans="1:4" x14ac:dyDescent="0.35">
      <c r="A70" t="s">
        <v>72</v>
      </c>
      <c r="B70" t="s">
        <v>13</v>
      </c>
      <c r="C70" s="13" t="s">
        <v>365</v>
      </c>
      <c r="D70" t="str">
        <f ca="1">'unit calc'!A203</f>
        <v>57mm M1_171</v>
      </c>
    </row>
    <row r="71" spans="1:4" x14ac:dyDescent="0.35">
      <c r="A71" t="s">
        <v>72</v>
      </c>
      <c r="B71" t="s">
        <v>13</v>
      </c>
      <c r="C71" s="13" t="s">
        <v>365</v>
      </c>
      <c r="D71" t="str">
        <f ca="1">'unit calc'!A204</f>
        <v>76mm M5/M7_219</v>
      </c>
    </row>
    <row r="72" spans="1:4" x14ac:dyDescent="0.35">
      <c r="A72" t="s">
        <v>72</v>
      </c>
      <c r="B72" t="s">
        <v>13</v>
      </c>
      <c r="C72" s="13" t="str">
        <f>G5</f>
        <v>special_forces_1</v>
      </c>
      <c r="D72" s="197" t="str">
        <f ca="1">'unit calc'!A226</f>
        <v>experienced, _72</v>
      </c>
    </row>
    <row r="73" spans="1:4" x14ac:dyDescent="0.35">
      <c r="A73" t="s">
        <v>72</v>
      </c>
      <c r="B73" t="s">
        <v>13</v>
      </c>
      <c r="C73" s="13" t="s">
        <v>50</v>
      </c>
      <c r="D73" s="197" t="str">
        <f ca="1">'unit calc'!A57</f>
        <v>jeep_16</v>
      </c>
    </row>
    <row r="74" spans="1:4" x14ac:dyDescent="0.35">
      <c r="A74" t="s">
        <v>72</v>
      </c>
      <c r="B74" t="s">
        <v>13</v>
      </c>
      <c r="C74" s="13" t="s">
        <v>50</v>
      </c>
      <c r="D74" s="197" t="str">
        <f ca="1">'unit calc'!A58</f>
        <v>truck_34</v>
      </c>
    </row>
    <row r="75" spans="1:4" x14ac:dyDescent="0.35">
      <c r="A75" t="s">
        <v>72</v>
      </c>
      <c r="B75" t="s">
        <v>13</v>
      </c>
      <c r="C75" s="13" t="s">
        <v>50</v>
      </c>
      <c r="D75" s="197" t="str">
        <f ca="1">'unit calc'!A60</f>
        <v>armoured car_95</v>
      </c>
    </row>
    <row r="76" spans="1:4" x14ac:dyDescent="0.35">
      <c r="A76" t="s">
        <v>72</v>
      </c>
      <c r="B76" t="s">
        <v>13</v>
      </c>
      <c r="C76" s="13" t="s">
        <v>50</v>
      </c>
      <c r="D76" s="197" t="str">
        <f ca="1">'unit calc'!A61</f>
        <v>half track_89</v>
      </c>
    </row>
    <row r="77" spans="1:4" x14ac:dyDescent="0.35">
      <c r="A77" t="s">
        <v>72</v>
      </c>
      <c r="B77" t="s">
        <v>13</v>
      </c>
      <c r="C77" s="13" t="s">
        <v>374</v>
      </c>
      <c r="D77" s="197" t="str">
        <f ca="1">'unit calc'!A75</f>
        <v>Humber AC_150</v>
      </c>
    </row>
    <row r="78" spans="1:4" x14ac:dyDescent="0.35">
      <c r="A78" t="s">
        <v>72</v>
      </c>
      <c r="B78" t="s">
        <v>13</v>
      </c>
      <c r="C78" s="13" t="s">
        <v>374</v>
      </c>
      <c r="D78" s="197" t="str">
        <f ca="1">'unit calc'!A78</f>
        <v>M24 Chaffee_220</v>
      </c>
    </row>
    <row r="79" spans="1:4" x14ac:dyDescent="0.35">
      <c r="A79" t="s">
        <v>72</v>
      </c>
      <c r="B79" t="s">
        <v>13</v>
      </c>
      <c r="C79" s="13" t="s">
        <v>374</v>
      </c>
      <c r="D79" s="197" t="str">
        <f ca="1">'unit calc'!A79</f>
        <v>M3 Stuart_210</v>
      </c>
    </row>
    <row r="80" spans="1:4" x14ac:dyDescent="0.35">
      <c r="A80" t="s">
        <v>72</v>
      </c>
      <c r="B80" t="s">
        <v>373</v>
      </c>
      <c r="C80" s="64" t="s">
        <v>368</v>
      </c>
      <c r="D80" t="str">
        <f ca="1">'unit calc'!A32</f>
        <v>rifle squad_250</v>
      </c>
    </row>
    <row r="81" spans="1:4" x14ac:dyDescent="0.35">
      <c r="A81" t="s">
        <v>72</v>
      </c>
      <c r="B81" t="s">
        <v>373</v>
      </c>
      <c r="C81" s="64" t="s">
        <v>368</v>
      </c>
      <c r="D81" t="str">
        <f ca="1">'unit calc'!A33</f>
        <v>assault squad_205</v>
      </c>
    </row>
    <row r="82" spans="1:4" x14ac:dyDescent="0.35">
      <c r="A82" t="s">
        <v>72</v>
      </c>
      <c r="B82" t="s">
        <v>373</v>
      </c>
      <c r="C82" s="64" t="s">
        <v>368</v>
      </c>
      <c r="D82" t="str">
        <f ca="1">'unit calc'!A34</f>
        <v>gun squad_243</v>
      </c>
    </row>
    <row r="83" spans="1:4" x14ac:dyDescent="0.35">
      <c r="A83" t="s">
        <v>72</v>
      </c>
      <c r="B83" t="s">
        <v>373</v>
      </c>
      <c r="C83" s="64" t="s">
        <v>368</v>
      </c>
      <c r="D83" t="str">
        <f ca="1">'unit calc'!A35</f>
        <v>recon squad_171</v>
      </c>
    </row>
    <row r="84" spans="1:4" x14ac:dyDescent="0.35">
      <c r="A84" t="s">
        <v>72</v>
      </c>
      <c r="B84" t="s">
        <v>373</v>
      </c>
      <c r="C84" s="64" t="s">
        <v>106</v>
      </c>
      <c r="D84" t="str">
        <f ca="1">'unit calc'!A129</f>
        <v>mortar squad_209</v>
      </c>
    </row>
    <row r="85" spans="1:4" x14ac:dyDescent="0.35">
      <c r="A85" t="s">
        <v>72</v>
      </c>
      <c r="B85" t="s">
        <v>373</v>
      </c>
      <c r="C85" s="64" t="s">
        <v>106</v>
      </c>
      <c r="D85" t="str">
        <f ca="1">'unit calc'!A130</f>
        <v>mortar x2 squad_261</v>
      </c>
    </row>
    <row r="86" spans="1:4" x14ac:dyDescent="0.35">
      <c r="A86" t="s">
        <v>72</v>
      </c>
      <c r="B86" t="s">
        <v>373</v>
      </c>
      <c r="C86" s="64" t="s">
        <v>106</v>
      </c>
      <c r="D86" t="str">
        <f ca="1">'unit calc'!A131</f>
        <v>MPAT squad_179</v>
      </c>
    </row>
    <row r="87" spans="1:4" x14ac:dyDescent="0.35">
      <c r="A87" t="s">
        <v>72</v>
      </c>
      <c r="B87" t="s">
        <v>373</v>
      </c>
      <c r="C87" s="64" t="s">
        <v>106</v>
      </c>
      <c r="D87" t="str">
        <f ca="1">'unit calc'!A132</f>
        <v>MPAT x2 squad_201</v>
      </c>
    </row>
    <row r="88" spans="1:4" x14ac:dyDescent="0.35">
      <c r="A88" t="s">
        <v>72</v>
      </c>
      <c r="B88" t="s">
        <v>373</v>
      </c>
      <c r="C88" s="64" t="s">
        <v>106</v>
      </c>
      <c r="D88" t="str">
        <f ca="1">'unit calc'!A133</f>
        <v>MMG squad_186</v>
      </c>
    </row>
    <row r="89" spans="1:4" x14ac:dyDescent="0.35">
      <c r="A89" t="s">
        <v>72</v>
      </c>
      <c r="B89" t="s">
        <v>373</v>
      </c>
      <c r="C89" s="64" t="s">
        <v>106</v>
      </c>
      <c r="D89" t="str">
        <f ca="1">'unit calc'!A134</f>
        <v>MMG x2 squad_215</v>
      </c>
    </row>
    <row r="90" spans="1:4" x14ac:dyDescent="0.35">
      <c r="A90" t="s">
        <v>72</v>
      </c>
      <c r="B90" t="s">
        <v>373</v>
      </c>
      <c r="C90" s="64" t="s">
        <v>106</v>
      </c>
      <c r="D90" t="str">
        <f ca="1">'unit calc'!A135</f>
        <v>MMG, HMG squad_222</v>
      </c>
    </row>
    <row r="91" spans="1:4" x14ac:dyDescent="0.35">
      <c r="A91" t="s">
        <v>72</v>
      </c>
      <c r="B91" t="s">
        <v>373</v>
      </c>
      <c r="C91" s="64" t="s">
        <v>106</v>
      </c>
      <c r="D91" t="str">
        <f ca="1">'unit calc'!A136</f>
        <v>HMG_193</v>
      </c>
    </row>
    <row r="92" spans="1:4" x14ac:dyDescent="0.35">
      <c r="A92" t="s">
        <v>72</v>
      </c>
      <c r="B92" t="s">
        <v>373</v>
      </c>
      <c r="C92" s="64" t="s">
        <v>106</v>
      </c>
      <c r="D92" t="str">
        <f ca="1">'unit calc'!A137</f>
        <v>HMG x2 squad_229</v>
      </c>
    </row>
    <row r="93" spans="1:4" x14ac:dyDescent="0.35">
      <c r="A93" t="s">
        <v>72</v>
      </c>
      <c r="B93" t="s">
        <v>373</v>
      </c>
      <c r="C93" s="64" t="s">
        <v>106</v>
      </c>
      <c r="D93" t="str">
        <f ca="1">'unit calc'!A138</f>
        <v>flame squad_196</v>
      </c>
    </row>
    <row r="94" spans="1:4" x14ac:dyDescent="0.35">
      <c r="A94" t="s">
        <v>72</v>
      </c>
      <c r="B94" t="s">
        <v>373</v>
      </c>
      <c r="C94" s="64" t="s">
        <v>106</v>
      </c>
      <c r="D94" t="str">
        <f ca="1">'unit calc'!A139</f>
        <v>FLAME x2 squad_235</v>
      </c>
    </row>
    <row r="95" spans="1:4" x14ac:dyDescent="0.35">
      <c r="A95" t="s">
        <v>72</v>
      </c>
      <c r="B95" t="s">
        <v>373</v>
      </c>
      <c r="C95" s="64" t="s">
        <v>106</v>
      </c>
      <c r="D95" t="str">
        <f ca="1">'unit calc'!A140</f>
        <v>marksman squad_184</v>
      </c>
    </row>
    <row r="96" spans="1:4" x14ac:dyDescent="0.35">
      <c r="A96" t="s">
        <v>72</v>
      </c>
      <c r="B96" t="s">
        <v>373</v>
      </c>
      <c r="C96" s="64" t="s">
        <v>106</v>
      </c>
      <c r="D96" t="str">
        <f ca="1">'unit calc'!A141</f>
        <v>marksman x2 squad_211</v>
      </c>
    </row>
    <row r="97" spans="1:4" x14ac:dyDescent="0.35">
      <c r="A97" t="s">
        <v>72</v>
      </c>
      <c r="B97" t="s">
        <v>373</v>
      </c>
      <c r="C97" s="64" t="str">
        <f>G5</f>
        <v>special_forces_1</v>
      </c>
      <c r="D97" s="197" t="str">
        <f ca="1">'unit calc'!A226</f>
        <v>experienced, _72</v>
      </c>
    </row>
    <row r="98" spans="1:4" x14ac:dyDescent="0.35">
      <c r="A98" t="s">
        <v>72</v>
      </c>
      <c r="B98" t="s">
        <v>373</v>
      </c>
      <c r="C98" s="64" t="str">
        <f t="shared" ref="C98:C99" si="0">G6</f>
        <v>special_forces_2</v>
      </c>
      <c r="D98" s="197" t="str">
        <f ca="1">'unit calc'!A227</f>
        <v>experienced, _72</v>
      </c>
    </row>
    <row r="99" spans="1:4" x14ac:dyDescent="0.35">
      <c r="A99" t="s">
        <v>72</v>
      </c>
      <c r="B99" t="s">
        <v>373</v>
      </c>
      <c r="C99" s="64" t="str">
        <f t="shared" si="0"/>
        <v>special_forces_3</v>
      </c>
      <c r="D99" s="197" t="str">
        <f ca="1">'unit calc'!A228</f>
        <v>conscript, _59</v>
      </c>
    </row>
    <row r="100" spans="1:4" x14ac:dyDescent="0.35">
      <c r="A100" t="s">
        <v>72</v>
      </c>
      <c r="B100" t="s">
        <v>373</v>
      </c>
      <c r="C100" s="64" t="s">
        <v>504</v>
      </c>
      <c r="D100" s="197" t="str">
        <f ca="1">'unit calc'!A40</f>
        <v>mmg team_75</v>
      </c>
    </row>
    <row r="101" spans="1:4" x14ac:dyDescent="0.35">
      <c r="A101" t="s">
        <v>72</v>
      </c>
      <c r="B101" t="s">
        <v>373</v>
      </c>
      <c r="C101" s="64" t="s">
        <v>504</v>
      </c>
      <c r="D101" s="197" t="str">
        <f ca="1">'unit calc'!A41</f>
        <v>hmg team_82</v>
      </c>
    </row>
    <row r="102" spans="1:4" x14ac:dyDescent="0.35">
      <c r="A102" t="s">
        <v>72</v>
      </c>
      <c r="B102" t="s">
        <v>373</v>
      </c>
      <c r="C102" s="64" t="s">
        <v>504</v>
      </c>
      <c r="D102" s="197" t="str">
        <f ca="1">'unit calc'!A42</f>
        <v>sniper_60</v>
      </c>
    </row>
    <row r="103" spans="1:4" x14ac:dyDescent="0.35">
      <c r="A103" t="s">
        <v>72</v>
      </c>
      <c r="B103" t="s">
        <v>373</v>
      </c>
      <c r="C103" s="64" t="s">
        <v>504</v>
      </c>
      <c r="D103" s="197" t="str">
        <f ca="1">'unit calc'!A43</f>
        <v>mpat team_68</v>
      </c>
    </row>
    <row r="104" spans="1:4" x14ac:dyDescent="0.35">
      <c r="A104" t="s">
        <v>72</v>
      </c>
      <c r="B104" t="s">
        <v>373</v>
      </c>
      <c r="C104" s="64" t="s">
        <v>504</v>
      </c>
      <c r="D104" s="197" t="str">
        <f ca="1">'unit calc'!A44</f>
        <v>flame thrower team_85</v>
      </c>
    </row>
    <row r="105" spans="1:4" x14ac:dyDescent="0.35">
      <c r="A105" t="s">
        <v>72</v>
      </c>
      <c r="B105" t="s">
        <v>373</v>
      </c>
      <c r="C105" s="64" t="s">
        <v>504</v>
      </c>
      <c r="D105" s="197" t="str">
        <f ca="1">'unit calc'!A45</f>
        <v>mortar team_98</v>
      </c>
    </row>
    <row r="106" spans="1:4" x14ac:dyDescent="0.35">
      <c r="A106" t="s">
        <v>72</v>
      </c>
      <c r="B106" t="s">
        <v>98</v>
      </c>
      <c r="C106" s="64" t="s">
        <v>368</v>
      </c>
      <c r="D106" t="str">
        <f ca="1">'unit calc'!A32</f>
        <v>rifle squad_250</v>
      </c>
    </row>
    <row r="107" spans="1:4" x14ac:dyDescent="0.35">
      <c r="A107" t="s">
        <v>72</v>
      </c>
      <c r="B107" t="s">
        <v>98</v>
      </c>
      <c r="C107" s="64" t="s">
        <v>368</v>
      </c>
      <c r="D107" t="str">
        <f ca="1">'unit calc'!A33</f>
        <v>assault squad_205</v>
      </c>
    </row>
    <row r="108" spans="1:4" x14ac:dyDescent="0.35">
      <c r="A108" t="s">
        <v>72</v>
      </c>
      <c r="B108" t="s">
        <v>98</v>
      </c>
      <c r="C108" s="64" t="s">
        <v>368</v>
      </c>
      <c r="D108" t="str">
        <f ca="1">'unit calc'!A34</f>
        <v>gun squad_243</v>
      </c>
    </row>
    <row r="109" spans="1:4" x14ac:dyDescent="0.35">
      <c r="A109" t="s">
        <v>72</v>
      </c>
      <c r="B109" t="s">
        <v>98</v>
      </c>
      <c r="C109" s="64" t="s">
        <v>368</v>
      </c>
      <c r="D109" t="str">
        <f ca="1">'unit calc'!A35</f>
        <v>recon squad_171</v>
      </c>
    </row>
    <row r="110" spans="1:4" x14ac:dyDescent="0.35">
      <c r="A110" t="s">
        <v>72</v>
      </c>
      <c r="B110" t="s">
        <v>98</v>
      </c>
      <c r="C110" s="64" t="s">
        <v>106</v>
      </c>
      <c r="D110" t="str">
        <f ca="1">'unit calc'!A129</f>
        <v>mortar squad_209</v>
      </c>
    </row>
    <row r="111" spans="1:4" x14ac:dyDescent="0.35">
      <c r="A111" t="s">
        <v>72</v>
      </c>
      <c r="B111" t="s">
        <v>98</v>
      </c>
      <c r="C111" s="64" t="s">
        <v>106</v>
      </c>
      <c r="D111" t="str">
        <f ca="1">'unit calc'!A130</f>
        <v>mortar x2 squad_261</v>
      </c>
    </row>
    <row r="112" spans="1:4" x14ac:dyDescent="0.35">
      <c r="A112" t="s">
        <v>72</v>
      </c>
      <c r="B112" t="s">
        <v>98</v>
      </c>
      <c r="C112" s="64" t="s">
        <v>106</v>
      </c>
      <c r="D112" t="str">
        <f ca="1">'unit calc'!A131</f>
        <v>MPAT squad_179</v>
      </c>
    </row>
    <row r="113" spans="1:4" x14ac:dyDescent="0.35">
      <c r="A113" t="s">
        <v>72</v>
      </c>
      <c r="B113" t="s">
        <v>98</v>
      </c>
      <c r="C113" s="64" t="s">
        <v>106</v>
      </c>
      <c r="D113" t="str">
        <f ca="1">'unit calc'!A132</f>
        <v>MPAT x2 squad_201</v>
      </c>
    </row>
    <row r="114" spans="1:4" x14ac:dyDescent="0.35">
      <c r="A114" t="s">
        <v>72</v>
      </c>
      <c r="B114" t="s">
        <v>98</v>
      </c>
      <c r="C114" s="64" t="s">
        <v>106</v>
      </c>
      <c r="D114" t="str">
        <f ca="1">'unit calc'!A133</f>
        <v>MMG squad_186</v>
      </c>
    </row>
    <row r="115" spans="1:4" x14ac:dyDescent="0.35">
      <c r="A115" t="s">
        <v>72</v>
      </c>
      <c r="B115" t="s">
        <v>98</v>
      </c>
      <c r="C115" s="64" t="s">
        <v>106</v>
      </c>
      <c r="D115" t="str">
        <f ca="1">'unit calc'!A134</f>
        <v>MMG x2 squad_215</v>
      </c>
    </row>
    <row r="116" spans="1:4" x14ac:dyDescent="0.35">
      <c r="A116" t="s">
        <v>72</v>
      </c>
      <c r="B116" t="s">
        <v>98</v>
      </c>
      <c r="C116" s="64" t="s">
        <v>106</v>
      </c>
      <c r="D116" t="str">
        <f ca="1">'unit calc'!A135</f>
        <v>MMG, HMG squad_222</v>
      </c>
    </row>
    <row r="117" spans="1:4" x14ac:dyDescent="0.35">
      <c r="A117" t="s">
        <v>72</v>
      </c>
      <c r="B117" t="s">
        <v>98</v>
      </c>
      <c r="C117" s="64" t="s">
        <v>106</v>
      </c>
      <c r="D117" t="str">
        <f ca="1">'unit calc'!A136</f>
        <v>HMG_193</v>
      </c>
    </row>
    <row r="118" spans="1:4" x14ac:dyDescent="0.35">
      <c r="A118" t="s">
        <v>72</v>
      </c>
      <c r="B118" t="s">
        <v>98</v>
      </c>
      <c r="C118" s="64" t="s">
        <v>106</v>
      </c>
      <c r="D118" t="str">
        <f ca="1">'unit calc'!A137</f>
        <v>HMG x2 squad_229</v>
      </c>
    </row>
    <row r="119" spans="1:4" x14ac:dyDescent="0.35">
      <c r="A119" t="s">
        <v>72</v>
      </c>
      <c r="B119" t="s">
        <v>98</v>
      </c>
      <c r="C119" s="64" t="s">
        <v>106</v>
      </c>
      <c r="D119" t="str">
        <f ca="1">'unit calc'!A138</f>
        <v>flame squad_196</v>
      </c>
    </row>
    <row r="120" spans="1:4" x14ac:dyDescent="0.35">
      <c r="A120" t="s">
        <v>72</v>
      </c>
      <c r="B120" t="s">
        <v>98</v>
      </c>
      <c r="C120" s="64" t="s">
        <v>106</v>
      </c>
      <c r="D120" t="str">
        <f ca="1">'unit calc'!A139</f>
        <v>FLAME x2 squad_235</v>
      </c>
    </row>
    <row r="121" spans="1:4" x14ac:dyDescent="0.35">
      <c r="A121" t="s">
        <v>72</v>
      </c>
      <c r="B121" t="s">
        <v>98</v>
      </c>
      <c r="C121" s="64" t="s">
        <v>106</v>
      </c>
      <c r="D121" t="str">
        <f ca="1">'unit calc'!A140</f>
        <v>marksman squad_184</v>
      </c>
    </row>
    <row r="122" spans="1:4" x14ac:dyDescent="0.35">
      <c r="A122" t="s">
        <v>72</v>
      </c>
      <c r="B122" t="s">
        <v>98</v>
      </c>
      <c r="C122" s="64" t="s">
        <v>106</v>
      </c>
      <c r="D122" t="str">
        <f ca="1">'unit calc'!A141</f>
        <v>marksman x2 squad_211</v>
      </c>
    </row>
    <row r="123" spans="1:4" x14ac:dyDescent="0.35">
      <c r="A123" t="s">
        <v>72</v>
      </c>
      <c r="B123" t="s">
        <v>98</v>
      </c>
      <c r="C123" s="64" t="str">
        <f>G5</f>
        <v>special_forces_1</v>
      </c>
      <c r="D123" s="197" t="str">
        <f ca="1">'unit calc'!A226</f>
        <v>experienced, _72</v>
      </c>
    </row>
    <row r="124" spans="1:4" x14ac:dyDescent="0.35">
      <c r="A124" t="s">
        <v>72</v>
      </c>
      <c r="B124" t="s">
        <v>98</v>
      </c>
      <c r="C124" s="64" t="str">
        <f t="shared" ref="C124:C125" si="1">G6</f>
        <v>special_forces_2</v>
      </c>
      <c r="D124" s="197" t="str">
        <f ca="1">'unit calc'!A227</f>
        <v>experienced, _72</v>
      </c>
    </row>
    <row r="125" spans="1:4" x14ac:dyDescent="0.35">
      <c r="A125" t="s">
        <v>72</v>
      </c>
      <c r="B125" t="s">
        <v>98</v>
      </c>
      <c r="C125" s="64" t="str">
        <f t="shared" si="1"/>
        <v>special_forces_3</v>
      </c>
      <c r="D125" s="197" t="str">
        <f ca="1">'unit calc'!A228</f>
        <v>conscript, _59</v>
      </c>
    </row>
    <row r="126" spans="1:4" x14ac:dyDescent="0.35">
      <c r="A126" t="s">
        <v>72</v>
      </c>
      <c r="B126" t="s">
        <v>98</v>
      </c>
      <c r="C126" s="64" t="s">
        <v>504</v>
      </c>
      <c r="D126" s="197" t="str">
        <f ca="1">'unit calc'!A40</f>
        <v>mmg team_75</v>
      </c>
    </row>
    <row r="127" spans="1:4" x14ac:dyDescent="0.35">
      <c r="A127" t="s">
        <v>72</v>
      </c>
      <c r="B127" t="s">
        <v>98</v>
      </c>
      <c r="C127" s="64" t="s">
        <v>504</v>
      </c>
      <c r="D127" s="197" t="str">
        <f ca="1">'unit calc'!A41</f>
        <v>hmg team_82</v>
      </c>
    </row>
    <row r="128" spans="1:4" x14ac:dyDescent="0.35">
      <c r="A128" t="s">
        <v>72</v>
      </c>
      <c r="B128" t="s">
        <v>98</v>
      </c>
      <c r="C128" s="64" t="s">
        <v>504</v>
      </c>
      <c r="D128" s="197" t="str">
        <f ca="1">'unit calc'!A42</f>
        <v>sniper_60</v>
      </c>
    </row>
    <row r="129" spans="1:4" x14ac:dyDescent="0.35">
      <c r="A129" t="s">
        <v>72</v>
      </c>
      <c r="B129" t="s">
        <v>98</v>
      </c>
      <c r="C129" s="64" t="s">
        <v>504</v>
      </c>
      <c r="D129" s="197" t="str">
        <f ca="1">'unit calc'!A43</f>
        <v>mpat team_68</v>
      </c>
    </row>
    <row r="130" spans="1:4" x14ac:dyDescent="0.35">
      <c r="A130" t="s">
        <v>72</v>
      </c>
      <c r="B130" t="s">
        <v>98</v>
      </c>
      <c r="C130" s="64" t="s">
        <v>504</v>
      </c>
      <c r="D130" s="197" t="str">
        <f ca="1">'unit calc'!A44</f>
        <v>flame thrower team_85</v>
      </c>
    </row>
    <row r="131" spans="1:4" x14ac:dyDescent="0.35">
      <c r="A131" t="s">
        <v>72</v>
      </c>
      <c r="B131" t="s">
        <v>98</v>
      </c>
      <c r="C131" s="64" t="s">
        <v>504</v>
      </c>
      <c r="D131" s="197" t="str">
        <f ca="1">'unit calc'!A45</f>
        <v>mortar team_98</v>
      </c>
    </row>
    <row r="132" spans="1:4" x14ac:dyDescent="0.35">
      <c r="A132" t="s">
        <v>72</v>
      </c>
      <c r="B132" t="s">
        <v>98</v>
      </c>
      <c r="C132" t="str">
        <f>I3</f>
        <v>feild_gun</v>
      </c>
      <c r="D132" s="197" t="str">
        <f ca="1">'unit calc'!A171</f>
        <v>20mm hispano_48</v>
      </c>
    </row>
    <row r="133" spans="1:4" x14ac:dyDescent="0.35">
      <c r="A133" t="s">
        <v>72</v>
      </c>
      <c r="B133" t="s">
        <v>98</v>
      </c>
      <c r="C133" t="str">
        <f>I3</f>
        <v>feild_gun</v>
      </c>
      <c r="D133" s="197" t="str">
        <f ca="1">'unit calc'!A172</f>
        <v>37mm M3_32</v>
      </c>
    </row>
    <row r="134" spans="1:4" x14ac:dyDescent="0.35">
      <c r="A134" t="s">
        <v>72</v>
      </c>
      <c r="B134" t="s">
        <v>98</v>
      </c>
      <c r="C134" t="str">
        <f>I3</f>
        <v>feild_gun</v>
      </c>
      <c r="D134" s="197" t="str">
        <f ca="1">'unit calc'!A173</f>
        <v>57mm M1_54</v>
      </c>
    </row>
    <row r="135" spans="1:4" x14ac:dyDescent="0.35">
      <c r="A135" t="s">
        <v>72</v>
      </c>
      <c r="B135" t="s">
        <v>98</v>
      </c>
      <c r="C135" t="str">
        <f>I3</f>
        <v>feild_gun</v>
      </c>
      <c r="D135" s="197" t="str">
        <f ca="1">'unit calc'!A174</f>
        <v>76mm M5/M7_102</v>
      </c>
    </row>
    <row r="136" spans="1:4" x14ac:dyDescent="0.35">
      <c r="A136" t="s">
        <v>72</v>
      </c>
      <c r="B136" t="s">
        <v>98</v>
      </c>
      <c r="C136" s="13" t="s">
        <v>365</v>
      </c>
      <c r="D136" t="str">
        <f ca="1">'unit calc'!A201</f>
        <v>20mm hispano_152</v>
      </c>
    </row>
    <row r="137" spans="1:4" x14ac:dyDescent="0.35">
      <c r="A137" t="s">
        <v>72</v>
      </c>
      <c r="B137" t="s">
        <v>98</v>
      </c>
      <c r="C137" s="13" t="s">
        <v>365</v>
      </c>
      <c r="D137" t="str">
        <f ca="1">'unit calc'!A202</f>
        <v>37mm M3_136</v>
      </c>
    </row>
    <row r="138" spans="1:4" x14ac:dyDescent="0.35">
      <c r="A138" t="s">
        <v>72</v>
      </c>
      <c r="B138" t="s">
        <v>98</v>
      </c>
      <c r="C138" s="13" t="s">
        <v>365</v>
      </c>
      <c r="D138" t="str">
        <f ca="1">'unit calc'!A203</f>
        <v>57mm M1_171</v>
      </c>
    </row>
    <row r="139" spans="1:4" x14ac:dyDescent="0.35">
      <c r="A139" t="s">
        <v>72</v>
      </c>
      <c r="B139" t="s">
        <v>98</v>
      </c>
      <c r="C139" s="13" t="s">
        <v>365</v>
      </c>
      <c r="D139" t="str">
        <f ca="1">'unit calc'!A204</f>
        <v>76mm M5/M7_219</v>
      </c>
    </row>
    <row r="140" spans="1:4" x14ac:dyDescent="0.35">
      <c r="A140" t="s">
        <v>72</v>
      </c>
      <c r="B140" t="s">
        <v>98</v>
      </c>
      <c r="C140" s="13" t="s">
        <v>50</v>
      </c>
      <c r="D140" s="197" t="str">
        <f ca="1">'unit calc'!A57</f>
        <v>jeep_16</v>
      </c>
    </row>
    <row r="141" spans="1:4" x14ac:dyDescent="0.35">
      <c r="A141" t="s">
        <v>72</v>
      </c>
      <c r="B141" t="s">
        <v>98</v>
      </c>
      <c r="C141" s="13" t="s">
        <v>50</v>
      </c>
      <c r="D141" s="197" t="str">
        <f ca="1">'unit calc'!A58</f>
        <v>truck_34</v>
      </c>
    </row>
    <row r="142" spans="1:4" x14ac:dyDescent="0.35">
      <c r="A142" t="s">
        <v>72</v>
      </c>
      <c r="B142" t="s">
        <v>98</v>
      </c>
      <c r="C142" s="13" t="s">
        <v>50</v>
      </c>
      <c r="D142" s="197" t="str">
        <f ca="1">'unit calc'!A59</f>
        <v>bren gun carrier_70</v>
      </c>
    </row>
    <row r="143" spans="1:4" x14ac:dyDescent="0.35">
      <c r="A143" t="s">
        <v>72</v>
      </c>
      <c r="B143" t="s">
        <v>98</v>
      </c>
      <c r="C143" s="13" t="s">
        <v>50</v>
      </c>
      <c r="D143" s="197" t="str">
        <f ca="1">'unit calc'!A60</f>
        <v>armoured car_95</v>
      </c>
    </row>
    <row r="144" spans="1:4" x14ac:dyDescent="0.35">
      <c r="A144" t="s">
        <v>72</v>
      </c>
      <c r="B144" t="s">
        <v>98</v>
      </c>
      <c r="C144" s="13" t="s">
        <v>50</v>
      </c>
      <c r="D144" s="197" t="str">
        <f ca="1">'unit calc'!A61</f>
        <v>half track_89</v>
      </c>
    </row>
    <row r="145" spans="1:4" x14ac:dyDescent="0.35">
      <c r="A145" t="s">
        <v>72</v>
      </c>
      <c r="B145" t="s">
        <v>98</v>
      </c>
      <c r="C145" s="64" t="s">
        <v>374</v>
      </c>
      <c r="D145" t="str">
        <f ca="1">'unit calc'!A75</f>
        <v>Humber AC_150</v>
      </c>
    </row>
    <row r="146" spans="1:4" x14ac:dyDescent="0.35">
      <c r="A146" t="s">
        <v>72</v>
      </c>
      <c r="B146" t="s">
        <v>98</v>
      </c>
      <c r="C146" s="64" t="s">
        <v>374</v>
      </c>
      <c r="D146" t="str">
        <f ca="1">'unit calc'!A78</f>
        <v>M24 Chaffee_220</v>
      </c>
    </row>
    <row r="147" spans="1:4" x14ac:dyDescent="0.35">
      <c r="A147" t="s">
        <v>72</v>
      </c>
      <c r="B147" t="s">
        <v>98</v>
      </c>
      <c r="C147" s="64" t="s">
        <v>374</v>
      </c>
      <c r="D147" t="str">
        <f ca="1">'unit calc'!A79</f>
        <v>M3 Stuart_210</v>
      </c>
    </row>
    <row r="148" spans="1:4" x14ac:dyDescent="0.35">
      <c r="A148" t="s">
        <v>72</v>
      </c>
      <c r="B148" t="s">
        <v>98</v>
      </c>
      <c r="C148" s="64" t="s">
        <v>374</v>
      </c>
      <c r="D148" t="str">
        <f ca="1">'unit calc'!A80</f>
        <v>M18 Hellcat_200</v>
      </c>
    </row>
    <row r="149" spans="1:4" x14ac:dyDescent="0.35">
      <c r="A149" t="s">
        <v>72</v>
      </c>
      <c r="B149" t="s">
        <v>98</v>
      </c>
      <c r="C149" s="64" t="s">
        <v>374</v>
      </c>
      <c r="D149" t="str">
        <f ca="1">'unit calc'!A81</f>
        <v>m10_300</v>
      </c>
    </row>
    <row r="150" spans="1:4" x14ac:dyDescent="0.35">
      <c r="A150" t="s">
        <v>72</v>
      </c>
      <c r="B150" t="s">
        <v>98</v>
      </c>
      <c r="C150" s="64" t="s">
        <v>374</v>
      </c>
      <c r="D150" t="str">
        <f ca="1">'unit calc'!A85</f>
        <v>m36 Jackson_375</v>
      </c>
    </row>
    <row r="151" spans="1:4" x14ac:dyDescent="0.35">
      <c r="A151" t="s">
        <v>72</v>
      </c>
      <c r="B151" t="s">
        <v>98</v>
      </c>
      <c r="C151" s="64" t="s">
        <v>374</v>
      </c>
      <c r="D151" t="str">
        <f ca="1">'unit calc'!A87</f>
        <v>M4A2 Sherman_375</v>
      </c>
    </row>
    <row r="152" spans="1:4" x14ac:dyDescent="0.35">
      <c r="A152" t="s">
        <v>72</v>
      </c>
      <c r="B152" t="s">
        <v>98</v>
      </c>
      <c r="C152" s="64" t="s">
        <v>374</v>
      </c>
      <c r="D152" t="str">
        <f ca="1">'unit calc'!A91</f>
        <v>Sherman Jumbo_595</v>
      </c>
    </row>
    <row r="153" spans="1:4" x14ac:dyDescent="0.35">
      <c r="A153" t="s">
        <v>72</v>
      </c>
      <c r="B153" t="s">
        <v>98</v>
      </c>
      <c r="C153" s="64" t="s">
        <v>374</v>
      </c>
      <c r="D153" t="str">
        <f ca="1">'unit calc'!A92</f>
        <v>M4 Firefly_475</v>
      </c>
    </row>
    <row r="154" spans="1:4" x14ac:dyDescent="0.35">
      <c r="A154" t="s">
        <v>72</v>
      </c>
      <c r="B154" t="s">
        <v>98</v>
      </c>
      <c r="C154" s="64" t="s">
        <v>374</v>
      </c>
      <c r="D154" t="str">
        <f ca="1">'unit calc'!A96</f>
        <v>M26 Pershing_850</v>
      </c>
    </row>
    <row r="155" spans="1:4" x14ac:dyDescent="0.35">
      <c r="A155" t="s">
        <v>72</v>
      </c>
      <c r="B155" t="s">
        <v>17</v>
      </c>
      <c r="C155" s="64" t="s">
        <v>89</v>
      </c>
      <c r="D155" s="197" t="str">
        <f ca="1">'unit calc'!A75</f>
        <v>Humber AC_150</v>
      </c>
    </row>
    <row r="156" spans="1:4" x14ac:dyDescent="0.35">
      <c r="A156" t="s">
        <v>72</v>
      </c>
      <c r="B156" t="s">
        <v>17</v>
      </c>
      <c r="C156" s="64" t="s">
        <v>89</v>
      </c>
      <c r="D156" s="197" t="str">
        <f ca="1">'unit calc'!A78</f>
        <v>M24 Chaffee_220</v>
      </c>
    </row>
    <row r="157" spans="1:4" x14ac:dyDescent="0.35">
      <c r="A157" t="s">
        <v>72</v>
      </c>
      <c r="B157" t="s">
        <v>17</v>
      </c>
      <c r="C157" s="64" t="s">
        <v>89</v>
      </c>
      <c r="D157" s="197" t="str">
        <f ca="1">'unit calc'!A79</f>
        <v>M3 Stuart_210</v>
      </c>
    </row>
    <row r="158" spans="1:4" x14ac:dyDescent="0.35">
      <c r="A158" t="s">
        <v>72</v>
      </c>
      <c r="B158" t="s">
        <v>17</v>
      </c>
      <c r="C158" s="64" t="s">
        <v>89</v>
      </c>
      <c r="D158" s="197" t="str">
        <f ca="1">'unit calc'!A80</f>
        <v>M18 Hellcat_200</v>
      </c>
    </row>
    <row r="159" spans="1:4" x14ac:dyDescent="0.35">
      <c r="A159" t="s">
        <v>72</v>
      </c>
      <c r="B159" t="s">
        <v>17</v>
      </c>
      <c r="C159" s="64" t="s">
        <v>89</v>
      </c>
      <c r="D159" s="197" t="str">
        <f ca="1">'unit calc'!A81</f>
        <v>m10_300</v>
      </c>
    </row>
    <row r="160" spans="1:4" x14ac:dyDescent="0.35">
      <c r="A160" t="s">
        <v>72</v>
      </c>
      <c r="B160" t="s">
        <v>17</v>
      </c>
      <c r="C160" s="64" t="s">
        <v>89</v>
      </c>
      <c r="D160" s="197" t="str">
        <f ca="1">'unit calc'!A85</f>
        <v>m36 Jackson_375</v>
      </c>
    </row>
    <row r="161" spans="1:4" x14ac:dyDescent="0.35">
      <c r="A161" t="s">
        <v>72</v>
      </c>
      <c r="B161" t="s">
        <v>17</v>
      </c>
      <c r="C161" s="64" t="s">
        <v>89</v>
      </c>
      <c r="D161" s="197" t="str">
        <f ca="1">'unit calc'!A87</f>
        <v>M4A2 Sherman_375</v>
      </c>
    </row>
    <row r="162" spans="1:4" x14ac:dyDescent="0.35">
      <c r="A162" t="s">
        <v>72</v>
      </c>
      <c r="B162" t="s">
        <v>17</v>
      </c>
      <c r="C162" s="64" t="s">
        <v>89</v>
      </c>
      <c r="D162" s="197" t="str">
        <f ca="1">'unit calc'!A91</f>
        <v>Sherman Jumbo_595</v>
      </c>
    </row>
    <row r="163" spans="1:4" x14ac:dyDescent="0.35">
      <c r="A163" t="s">
        <v>72</v>
      </c>
      <c r="B163" t="s">
        <v>17</v>
      </c>
      <c r="C163" s="64" t="s">
        <v>89</v>
      </c>
      <c r="D163" s="197" t="str">
        <f ca="1">'unit calc'!A92</f>
        <v>M4 Firefly_475</v>
      </c>
    </row>
    <row r="164" spans="1:4" x14ac:dyDescent="0.35">
      <c r="A164" t="s">
        <v>72</v>
      </c>
      <c r="B164" t="s">
        <v>17</v>
      </c>
      <c r="C164" s="64" t="s">
        <v>89</v>
      </c>
      <c r="D164" s="197" t="str">
        <f ca="1">'unit calc'!A96</f>
        <v>M26 Pershing_850</v>
      </c>
    </row>
    <row r="165" spans="1:4" x14ac:dyDescent="0.35">
      <c r="A165" t="s">
        <v>72</v>
      </c>
      <c r="B165" t="s">
        <v>17</v>
      </c>
      <c r="C165" s="64" t="s">
        <v>374</v>
      </c>
      <c r="D165" t="str">
        <f ca="1">'unit calc'!A75</f>
        <v>Humber AC_150</v>
      </c>
    </row>
    <row r="166" spans="1:4" x14ac:dyDescent="0.35">
      <c r="A166" t="s">
        <v>72</v>
      </c>
      <c r="B166" t="s">
        <v>17</v>
      </c>
      <c r="C166" s="64" t="s">
        <v>374</v>
      </c>
      <c r="D166" t="str">
        <f ca="1">'unit calc'!A78</f>
        <v>M24 Chaffee_220</v>
      </c>
    </row>
    <row r="167" spans="1:4" x14ac:dyDescent="0.35">
      <c r="A167" t="s">
        <v>72</v>
      </c>
      <c r="B167" t="s">
        <v>17</v>
      </c>
      <c r="C167" s="64" t="s">
        <v>374</v>
      </c>
      <c r="D167" t="str">
        <f ca="1">'unit calc'!A79</f>
        <v>M3 Stuart_210</v>
      </c>
    </row>
    <row r="168" spans="1:4" x14ac:dyDescent="0.35">
      <c r="A168" t="s">
        <v>72</v>
      </c>
      <c r="B168" t="s">
        <v>17</v>
      </c>
      <c r="C168" s="64" t="s">
        <v>374</v>
      </c>
      <c r="D168" t="str">
        <f ca="1">'unit calc'!A80</f>
        <v>M18 Hellcat_200</v>
      </c>
    </row>
    <row r="169" spans="1:4" x14ac:dyDescent="0.35">
      <c r="A169" t="s">
        <v>72</v>
      </c>
      <c r="B169" t="s">
        <v>17</v>
      </c>
      <c r="C169" s="64" t="s">
        <v>374</v>
      </c>
      <c r="D169" t="str">
        <f ca="1">'unit calc'!A81</f>
        <v>m10_300</v>
      </c>
    </row>
    <row r="170" spans="1:4" x14ac:dyDescent="0.35">
      <c r="A170" t="s">
        <v>72</v>
      </c>
      <c r="B170" t="s">
        <v>17</v>
      </c>
      <c r="C170" s="64" t="s">
        <v>374</v>
      </c>
      <c r="D170" t="str">
        <f ca="1">'unit calc'!A85</f>
        <v>m36 Jackson_375</v>
      </c>
    </row>
    <row r="171" spans="1:4" x14ac:dyDescent="0.35">
      <c r="A171" t="s">
        <v>72</v>
      </c>
      <c r="B171" t="s">
        <v>17</v>
      </c>
      <c r="C171" s="64" t="s">
        <v>374</v>
      </c>
      <c r="D171" t="str">
        <f ca="1">'unit calc'!A87</f>
        <v>M4A2 Sherman_375</v>
      </c>
    </row>
    <row r="172" spans="1:4" x14ac:dyDescent="0.35">
      <c r="A172" t="s">
        <v>72</v>
      </c>
      <c r="B172" t="s">
        <v>17</v>
      </c>
      <c r="C172" s="64" t="s">
        <v>374</v>
      </c>
      <c r="D172" t="str">
        <f ca="1">'unit calc'!A91</f>
        <v>Sherman Jumbo_595</v>
      </c>
    </row>
    <row r="173" spans="1:4" x14ac:dyDescent="0.35">
      <c r="A173" t="s">
        <v>72</v>
      </c>
      <c r="B173" t="s">
        <v>17</v>
      </c>
      <c r="C173" s="64" t="s">
        <v>374</v>
      </c>
      <c r="D173" t="str">
        <f ca="1">'unit calc'!A92</f>
        <v>M4 Firefly_475</v>
      </c>
    </row>
    <row r="174" spans="1:4" x14ac:dyDescent="0.35">
      <c r="A174" t="s">
        <v>72</v>
      </c>
      <c r="B174" t="s">
        <v>17</v>
      </c>
      <c r="C174" s="64" t="s">
        <v>374</v>
      </c>
      <c r="D174" t="str">
        <f ca="1">'unit calc'!A96</f>
        <v>M26 Pershing_850</v>
      </c>
    </row>
    <row r="175" spans="1:4" x14ac:dyDescent="0.35">
      <c r="A175" t="s">
        <v>164</v>
      </c>
      <c r="B175" t="s">
        <v>86</v>
      </c>
      <c r="C175" s="64" t="s">
        <v>368</v>
      </c>
      <c r="D175" s="197" t="str">
        <f ca="1">'unit calc'!A32</f>
        <v>rifle squad_250</v>
      </c>
    </row>
    <row r="176" spans="1:4" x14ac:dyDescent="0.35">
      <c r="A176" t="s">
        <v>164</v>
      </c>
      <c r="B176" t="s">
        <v>86</v>
      </c>
      <c r="C176" s="64" t="s">
        <v>368</v>
      </c>
      <c r="D176" s="197" t="str">
        <f ca="1">'unit calc'!A33</f>
        <v>assault squad_205</v>
      </c>
    </row>
    <row r="177" spans="1:4" x14ac:dyDescent="0.35">
      <c r="A177" t="s">
        <v>164</v>
      </c>
      <c r="B177" t="s">
        <v>86</v>
      </c>
      <c r="C177" s="64" t="s">
        <v>368</v>
      </c>
      <c r="D177" s="197" t="str">
        <f ca="1">'unit calc'!A34</f>
        <v>gun squad_243</v>
      </c>
    </row>
    <row r="178" spans="1:4" x14ac:dyDescent="0.35">
      <c r="A178" t="s">
        <v>164</v>
      </c>
      <c r="B178" t="s">
        <v>86</v>
      </c>
      <c r="C178" s="64" t="s">
        <v>368</v>
      </c>
      <c r="D178" s="197" t="str">
        <f ca="1">'unit calc'!A35</f>
        <v>recon squad_171</v>
      </c>
    </row>
    <row r="179" spans="1:4" x14ac:dyDescent="0.35">
      <c r="A179" t="s">
        <v>164</v>
      </c>
      <c r="B179" t="s">
        <v>86</v>
      </c>
      <c r="C179" s="64" t="s">
        <v>106</v>
      </c>
      <c r="D179" s="197" t="str">
        <f ca="1">'unit calc'!A129</f>
        <v>mortar squad_209</v>
      </c>
    </row>
    <row r="180" spans="1:4" x14ac:dyDescent="0.35">
      <c r="A180" t="s">
        <v>164</v>
      </c>
      <c r="B180" t="s">
        <v>86</v>
      </c>
      <c r="C180" s="64" t="s">
        <v>106</v>
      </c>
      <c r="D180" s="197" t="str">
        <f ca="1">'unit calc'!A130</f>
        <v>mortar x2 squad_261</v>
      </c>
    </row>
    <row r="181" spans="1:4" x14ac:dyDescent="0.35">
      <c r="A181" t="s">
        <v>164</v>
      </c>
      <c r="B181" t="s">
        <v>86</v>
      </c>
      <c r="C181" s="64" t="s">
        <v>106</v>
      </c>
      <c r="D181" s="197" t="str">
        <f ca="1">'unit calc'!A131</f>
        <v>MPAT squad_179</v>
      </c>
    </row>
    <row r="182" spans="1:4" x14ac:dyDescent="0.35">
      <c r="A182" t="s">
        <v>164</v>
      </c>
      <c r="B182" t="s">
        <v>86</v>
      </c>
      <c r="C182" s="64" t="s">
        <v>106</v>
      </c>
      <c r="D182" s="197" t="str">
        <f ca="1">'unit calc'!A132</f>
        <v>MPAT x2 squad_201</v>
      </c>
    </row>
    <row r="183" spans="1:4" x14ac:dyDescent="0.35">
      <c r="A183" t="s">
        <v>164</v>
      </c>
      <c r="B183" t="s">
        <v>86</v>
      </c>
      <c r="C183" s="64" t="s">
        <v>106</v>
      </c>
      <c r="D183" s="197" t="str">
        <f ca="1">'unit calc'!A133</f>
        <v>MMG squad_186</v>
      </c>
    </row>
    <row r="184" spans="1:4" x14ac:dyDescent="0.35">
      <c r="A184" t="s">
        <v>164</v>
      </c>
      <c r="B184" t="s">
        <v>86</v>
      </c>
      <c r="C184" s="64" t="s">
        <v>106</v>
      </c>
      <c r="D184" s="197" t="str">
        <f ca="1">'unit calc'!A134</f>
        <v>MMG x2 squad_215</v>
      </c>
    </row>
    <row r="185" spans="1:4" x14ac:dyDescent="0.35">
      <c r="A185" t="s">
        <v>164</v>
      </c>
      <c r="B185" t="s">
        <v>86</v>
      </c>
      <c r="C185" s="64" t="s">
        <v>106</v>
      </c>
      <c r="D185" s="197" t="str">
        <f ca="1">'unit calc'!A135</f>
        <v>MMG, HMG squad_222</v>
      </c>
    </row>
    <row r="186" spans="1:4" x14ac:dyDescent="0.35">
      <c r="A186" t="s">
        <v>164</v>
      </c>
      <c r="B186" t="s">
        <v>86</v>
      </c>
      <c r="C186" s="64" t="s">
        <v>106</v>
      </c>
      <c r="D186" s="197" t="str">
        <f ca="1">'unit calc'!A136</f>
        <v>HMG_193</v>
      </c>
    </row>
    <row r="187" spans="1:4" x14ac:dyDescent="0.35">
      <c r="A187" t="s">
        <v>164</v>
      </c>
      <c r="B187" t="s">
        <v>86</v>
      </c>
      <c r="C187" s="64" t="s">
        <v>106</v>
      </c>
      <c r="D187" s="197" t="str">
        <f ca="1">'unit calc'!A137</f>
        <v>HMG x2 squad_229</v>
      </c>
    </row>
    <row r="188" spans="1:4" x14ac:dyDescent="0.35">
      <c r="A188" t="s">
        <v>164</v>
      </c>
      <c r="B188" t="s">
        <v>86</v>
      </c>
      <c r="C188" s="64" t="s">
        <v>106</v>
      </c>
      <c r="D188" s="197" t="str">
        <f ca="1">'unit calc'!A138</f>
        <v>flame squad_196</v>
      </c>
    </row>
    <row r="189" spans="1:4" x14ac:dyDescent="0.35">
      <c r="A189" t="s">
        <v>164</v>
      </c>
      <c r="B189" t="s">
        <v>86</v>
      </c>
      <c r="C189" s="64" t="s">
        <v>106</v>
      </c>
      <c r="D189" s="197" t="str">
        <f ca="1">'unit calc'!A139</f>
        <v>FLAME x2 squad_235</v>
      </c>
    </row>
    <row r="190" spans="1:4" x14ac:dyDescent="0.35">
      <c r="A190" t="s">
        <v>164</v>
      </c>
      <c r="B190" t="s">
        <v>86</v>
      </c>
      <c r="C190" s="64" t="s">
        <v>106</v>
      </c>
      <c r="D190" s="197" t="str">
        <f ca="1">'unit calc'!A140</f>
        <v>marksman squad_184</v>
      </c>
    </row>
    <row r="191" spans="1:4" x14ac:dyDescent="0.35">
      <c r="A191" t="s">
        <v>164</v>
      </c>
      <c r="B191" t="s">
        <v>86</v>
      </c>
      <c r="C191" s="64" t="s">
        <v>106</v>
      </c>
      <c r="D191" s="197" t="str">
        <f ca="1">'unit calc'!A141</f>
        <v>marksman x2 squad_211</v>
      </c>
    </row>
    <row r="192" spans="1:4" x14ac:dyDescent="0.35">
      <c r="A192" t="s">
        <v>164</v>
      </c>
      <c r="B192" t="s">
        <v>86</v>
      </c>
      <c r="C192" s="64" t="str">
        <f>G5</f>
        <v>special_forces_1</v>
      </c>
      <c r="D192" s="197" t="str">
        <f ca="1">'unit calc'!A226</f>
        <v>experienced, _72</v>
      </c>
    </row>
    <row r="193" spans="1:4" x14ac:dyDescent="0.35">
      <c r="A193" t="s">
        <v>164</v>
      </c>
      <c r="B193" t="s">
        <v>86</v>
      </c>
      <c r="C193" s="64" t="str">
        <f>G6</f>
        <v>special_forces_2</v>
      </c>
      <c r="D193" s="197" t="str">
        <f ca="1">'unit calc'!A227</f>
        <v>experienced, _72</v>
      </c>
    </row>
    <row r="194" spans="1:4" x14ac:dyDescent="0.35">
      <c r="A194" t="s">
        <v>164</v>
      </c>
      <c r="B194" t="s">
        <v>86</v>
      </c>
      <c r="C194" s="64" t="s">
        <v>504</v>
      </c>
      <c r="D194" s="197" t="str">
        <f ca="1">'unit calc'!A40</f>
        <v>mmg team_75</v>
      </c>
    </row>
    <row r="195" spans="1:4" x14ac:dyDescent="0.35">
      <c r="A195" t="s">
        <v>164</v>
      </c>
      <c r="B195" t="s">
        <v>86</v>
      </c>
      <c r="C195" s="64" t="s">
        <v>504</v>
      </c>
      <c r="D195" s="197" t="str">
        <f ca="1">'unit calc'!A41</f>
        <v>hmg team_82</v>
      </c>
    </row>
    <row r="196" spans="1:4" x14ac:dyDescent="0.35">
      <c r="A196" t="s">
        <v>164</v>
      </c>
      <c r="B196" t="s">
        <v>86</v>
      </c>
      <c r="C196" s="64" t="s">
        <v>504</v>
      </c>
      <c r="D196" s="197" t="str">
        <f ca="1">'unit calc'!A42</f>
        <v>sniper_60</v>
      </c>
    </row>
    <row r="197" spans="1:4" x14ac:dyDescent="0.35">
      <c r="A197" t="s">
        <v>164</v>
      </c>
      <c r="B197" t="s">
        <v>86</v>
      </c>
      <c r="C197" s="64" t="s">
        <v>504</v>
      </c>
      <c r="D197" s="197" t="str">
        <f ca="1">'unit calc'!A43</f>
        <v>mpat team_68</v>
      </c>
    </row>
    <row r="198" spans="1:4" x14ac:dyDescent="0.35">
      <c r="A198" t="s">
        <v>164</v>
      </c>
      <c r="B198" t="s">
        <v>86</v>
      </c>
      <c r="C198" s="64" t="s">
        <v>504</v>
      </c>
      <c r="D198" s="197" t="str">
        <f ca="1">'unit calc'!A44</f>
        <v>flame thrower team_85</v>
      </c>
    </row>
    <row r="199" spans="1:4" x14ac:dyDescent="0.35">
      <c r="A199" t="s">
        <v>164</v>
      </c>
      <c r="B199" t="s">
        <v>86</v>
      </c>
      <c r="C199" s="64" t="s">
        <v>504</v>
      </c>
      <c r="D199" s="197" t="str">
        <f ca="1">'unit calc'!A45</f>
        <v>mortar team_98</v>
      </c>
    </row>
    <row r="200" spans="1:4" x14ac:dyDescent="0.35">
      <c r="A200" t="s">
        <v>164</v>
      </c>
      <c r="B200" t="s">
        <v>86</v>
      </c>
      <c r="C200" t="str">
        <f>I3</f>
        <v>feild_gun</v>
      </c>
      <c r="D200" s="197" t="str">
        <f ca="1">'unit calc'!A166</f>
        <v>20mm flak 30/38_48</v>
      </c>
    </row>
    <row r="201" spans="1:4" x14ac:dyDescent="0.35">
      <c r="A201" t="s">
        <v>164</v>
      </c>
      <c r="B201" t="s">
        <v>86</v>
      </c>
      <c r="C201" t="str">
        <f>I3</f>
        <v>feild_gun</v>
      </c>
      <c r="D201" s="197" t="str">
        <f ca="1">'unit calc'!A167</f>
        <v>37mm pak 36_32</v>
      </c>
    </row>
    <row r="202" spans="1:4" x14ac:dyDescent="0.35">
      <c r="A202" t="s">
        <v>164</v>
      </c>
      <c r="B202" t="s">
        <v>86</v>
      </c>
      <c r="C202" t="str">
        <f>I3</f>
        <v>feild_gun</v>
      </c>
      <c r="D202" s="197" t="str">
        <f ca="1">'unit calc'!A168</f>
        <v>50mm pak 38_42</v>
      </c>
    </row>
    <row r="203" spans="1:4" x14ac:dyDescent="0.35">
      <c r="A203" t="s">
        <v>164</v>
      </c>
      <c r="B203" t="s">
        <v>86</v>
      </c>
      <c r="C203" t="str">
        <f>I3</f>
        <v>feild_gun</v>
      </c>
      <c r="D203" s="197" t="str">
        <f ca="1">'unit calc'!A169</f>
        <v>75mm pak 40_102</v>
      </c>
    </row>
    <row r="204" spans="1:4" x14ac:dyDescent="0.35">
      <c r="A204" t="s">
        <v>164</v>
      </c>
      <c r="B204" t="s">
        <v>86</v>
      </c>
      <c r="C204" t="str">
        <f>I3</f>
        <v>feild_gun</v>
      </c>
      <c r="D204" s="197" t="str">
        <f ca="1">'unit calc'!A170</f>
        <v>88mm pak 43_144</v>
      </c>
    </row>
    <row r="205" spans="1:4" x14ac:dyDescent="0.35">
      <c r="A205" t="s">
        <v>164</v>
      </c>
      <c r="B205" t="s">
        <v>86</v>
      </c>
      <c r="C205" s="13" t="s">
        <v>365</v>
      </c>
      <c r="D205" s="197" t="str">
        <f ca="1">'unit calc'!A196</f>
        <v>20mm flak 30/38_152</v>
      </c>
    </row>
    <row r="206" spans="1:4" x14ac:dyDescent="0.35">
      <c r="A206" t="s">
        <v>164</v>
      </c>
      <c r="B206" t="s">
        <v>86</v>
      </c>
      <c r="C206" s="13" t="s">
        <v>365</v>
      </c>
      <c r="D206" s="197" t="str">
        <f ca="1">'unit calc'!A197</f>
        <v>37mm pak 36_136</v>
      </c>
    </row>
    <row r="207" spans="1:4" x14ac:dyDescent="0.35">
      <c r="A207" t="s">
        <v>164</v>
      </c>
      <c r="B207" t="s">
        <v>86</v>
      </c>
      <c r="C207" s="13" t="s">
        <v>365</v>
      </c>
      <c r="D207" s="197" t="str">
        <f ca="1">'unit calc'!A198</f>
        <v>50mm pak 38_146</v>
      </c>
    </row>
    <row r="208" spans="1:4" x14ac:dyDescent="0.35">
      <c r="A208" t="s">
        <v>164</v>
      </c>
      <c r="B208" t="s">
        <v>86</v>
      </c>
      <c r="C208" s="13" t="s">
        <v>365</v>
      </c>
      <c r="D208" s="197" t="str">
        <f ca="1">'unit calc'!A199</f>
        <v>75mm pak 40_219</v>
      </c>
    </row>
    <row r="209" spans="1:4" x14ac:dyDescent="0.35">
      <c r="A209" t="s">
        <v>164</v>
      </c>
      <c r="B209" t="s">
        <v>86</v>
      </c>
      <c r="C209" s="13" t="s">
        <v>365</v>
      </c>
      <c r="D209" s="197" t="str">
        <f ca="1">'unit calc'!A200</f>
        <v>88mm pak 43_261</v>
      </c>
    </row>
    <row r="210" spans="1:4" x14ac:dyDescent="0.35">
      <c r="A210" t="s">
        <v>164</v>
      </c>
      <c r="B210" t="s">
        <v>86</v>
      </c>
      <c r="C210" s="13" t="s">
        <v>50</v>
      </c>
      <c r="D210" s="197" t="str">
        <f ca="1">'unit calc'!A57</f>
        <v>jeep_16</v>
      </c>
    </row>
    <row r="211" spans="1:4" x14ac:dyDescent="0.35">
      <c r="A211" t="s">
        <v>164</v>
      </c>
      <c r="B211" t="s">
        <v>86</v>
      </c>
      <c r="C211" s="13" t="s">
        <v>50</v>
      </c>
      <c r="D211" s="197" t="str">
        <f ca="1">'unit calc'!A58</f>
        <v>truck_34</v>
      </c>
    </row>
    <row r="212" spans="1:4" x14ac:dyDescent="0.35">
      <c r="A212" t="s">
        <v>164</v>
      </c>
      <c r="B212" t="s">
        <v>86</v>
      </c>
      <c r="C212" s="13" t="s">
        <v>50</v>
      </c>
      <c r="D212" s="197" t="str">
        <f ca="1">'unit calc'!A59</f>
        <v>bren gun carrier_70</v>
      </c>
    </row>
    <row r="213" spans="1:4" x14ac:dyDescent="0.35">
      <c r="A213" t="s">
        <v>164</v>
      </c>
      <c r="B213" t="s">
        <v>86</v>
      </c>
      <c r="C213" s="13" t="s">
        <v>50</v>
      </c>
      <c r="D213" s="197" t="str">
        <f ca="1">'unit calc'!A60</f>
        <v>armoured car_95</v>
      </c>
    </row>
    <row r="214" spans="1:4" x14ac:dyDescent="0.35">
      <c r="A214" t="s">
        <v>164</v>
      </c>
      <c r="B214" t="s">
        <v>13</v>
      </c>
      <c r="C214" s="64" t="s">
        <v>368</v>
      </c>
      <c r="D214" t="str">
        <f ca="1">'unit calc'!A32</f>
        <v>rifle squad_250</v>
      </c>
    </row>
    <row r="215" spans="1:4" x14ac:dyDescent="0.35">
      <c r="A215" t="s">
        <v>164</v>
      </c>
      <c r="B215" t="s">
        <v>13</v>
      </c>
      <c r="C215" s="64" t="s">
        <v>368</v>
      </c>
      <c r="D215" t="str">
        <f ca="1">'unit calc'!A33</f>
        <v>assault squad_205</v>
      </c>
    </row>
    <row r="216" spans="1:4" x14ac:dyDescent="0.35">
      <c r="A216" t="s">
        <v>164</v>
      </c>
      <c r="B216" t="s">
        <v>13</v>
      </c>
      <c r="C216" s="64" t="s">
        <v>368</v>
      </c>
      <c r="D216" t="str">
        <f ca="1">'unit calc'!A34</f>
        <v>gun squad_243</v>
      </c>
    </row>
    <row r="217" spans="1:4" x14ac:dyDescent="0.35">
      <c r="A217" t="s">
        <v>164</v>
      </c>
      <c r="B217" t="s">
        <v>13</v>
      </c>
      <c r="C217" s="64" t="s">
        <v>368</v>
      </c>
      <c r="D217" t="str">
        <f ca="1">'unit calc'!A35</f>
        <v>recon squad_171</v>
      </c>
    </row>
    <row r="218" spans="1:4" x14ac:dyDescent="0.35">
      <c r="A218" t="s">
        <v>164</v>
      </c>
      <c r="B218" t="s">
        <v>13</v>
      </c>
      <c r="C218" s="64" t="s">
        <v>106</v>
      </c>
      <c r="D218" t="str">
        <f ca="1">'unit calc'!A129</f>
        <v>mortar squad_209</v>
      </c>
    </row>
    <row r="219" spans="1:4" x14ac:dyDescent="0.35">
      <c r="A219" t="s">
        <v>164</v>
      </c>
      <c r="B219" t="s">
        <v>13</v>
      </c>
      <c r="C219" s="64" t="s">
        <v>106</v>
      </c>
      <c r="D219" t="str">
        <f ca="1">'unit calc'!A130</f>
        <v>mortar x2 squad_261</v>
      </c>
    </row>
    <row r="220" spans="1:4" x14ac:dyDescent="0.35">
      <c r="A220" t="s">
        <v>164</v>
      </c>
      <c r="B220" t="s">
        <v>13</v>
      </c>
      <c r="C220" s="64" t="s">
        <v>106</v>
      </c>
      <c r="D220" t="str">
        <f ca="1">'unit calc'!A131</f>
        <v>MPAT squad_179</v>
      </c>
    </row>
    <row r="221" spans="1:4" x14ac:dyDescent="0.35">
      <c r="A221" t="s">
        <v>164</v>
      </c>
      <c r="B221" t="s">
        <v>13</v>
      </c>
      <c r="C221" s="64" t="s">
        <v>106</v>
      </c>
      <c r="D221" t="str">
        <f ca="1">'unit calc'!A132</f>
        <v>MPAT x2 squad_201</v>
      </c>
    </row>
    <row r="222" spans="1:4" x14ac:dyDescent="0.35">
      <c r="A222" t="s">
        <v>164</v>
      </c>
      <c r="B222" t="s">
        <v>13</v>
      </c>
      <c r="C222" s="64" t="s">
        <v>106</v>
      </c>
      <c r="D222" t="str">
        <f ca="1">'unit calc'!A133</f>
        <v>MMG squad_186</v>
      </c>
    </row>
    <row r="223" spans="1:4" x14ac:dyDescent="0.35">
      <c r="A223" t="s">
        <v>164</v>
      </c>
      <c r="B223" t="s">
        <v>13</v>
      </c>
      <c r="C223" s="64" t="s">
        <v>106</v>
      </c>
      <c r="D223" t="str">
        <f ca="1">'unit calc'!A134</f>
        <v>MMG x2 squad_215</v>
      </c>
    </row>
    <row r="224" spans="1:4" x14ac:dyDescent="0.35">
      <c r="A224" t="s">
        <v>164</v>
      </c>
      <c r="B224" t="s">
        <v>13</v>
      </c>
      <c r="C224" s="64" t="s">
        <v>106</v>
      </c>
      <c r="D224" t="str">
        <f ca="1">'unit calc'!A135</f>
        <v>MMG, HMG squad_222</v>
      </c>
    </row>
    <row r="225" spans="1:4" x14ac:dyDescent="0.35">
      <c r="A225" t="s">
        <v>164</v>
      </c>
      <c r="B225" t="s">
        <v>13</v>
      </c>
      <c r="C225" s="64" t="s">
        <v>106</v>
      </c>
      <c r="D225" t="str">
        <f ca="1">'unit calc'!A136</f>
        <v>HMG_193</v>
      </c>
    </row>
    <row r="226" spans="1:4" x14ac:dyDescent="0.35">
      <c r="A226" t="s">
        <v>164</v>
      </c>
      <c r="B226" t="s">
        <v>13</v>
      </c>
      <c r="C226" s="64" t="s">
        <v>106</v>
      </c>
      <c r="D226" t="str">
        <f ca="1">'unit calc'!A137</f>
        <v>HMG x2 squad_229</v>
      </c>
    </row>
    <row r="227" spans="1:4" x14ac:dyDescent="0.35">
      <c r="A227" t="s">
        <v>164</v>
      </c>
      <c r="B227" t="s">
        <v>13</v>
      </c>
      <c r="C227" s="64" t="s">
        <v>106</v>
      </c>
      <c r="D227" t="str">
        <f ca="1">'unit calc'!A138</f>
        <v>flame squad_196</v>
      </c>
    </row>
    <row r="228" spans="1:4" x14ac:dyDescent="0.35">
      <c r="A228" t="s">
        <v>164</v>
      </c>
      <c r="B228" t="s">
        <v>13</v>
      </c>
      <c r="C228" s="64" t="s">
        <v>106</v>
      </c>
      <c r="D228" t="str">
        <f ca="1">'unit calc'!A139</f>
        <v>FLAME x2 squad_235</v>
      </c>
    </row>
    <row r="229" spans="1:4" x14ac:dyDescent="0.35">
      <c r="A229" t="s">
        <v>164</v>
      </c>
      <c r="B229" t="s">
        <v>13</v>
      </c>
      <c r="C229" s="64" t="s">
        <v>106</v>
      </c>
      <c r="D229" t="str">
        <f ca="1">'unit calc'!A140</f>
        <v>marksman squad_184</v>
      </c>
    </row>
    <row r="230" spans="1:4" x14ac:dyDescent="0.35">
      <c r="A230" t="s">
        <v>164</v>
      </c>
      <c r="B230" t="s">
        <v>13</v>
      </c>
      <c r="C230" s="64" t="s">
        <v>106</v>
      </c>
      <c r="D230" t="str">
        <f ca="1">'unit calc'!A141</f>
        <v>marksman x2 squad_211</v>
      </c>
    </row>
    <row r="231" spans="1:4" x14ac:dyDescent="0.35">
      <c r="A231" t="s">
        <v>164</v>
      </c>
      <c r="B231" t="s">
        <v>13</v>
      </c>
      <c r="C231" s="64" t="str">
        <f>G5</f>
        <v>special_forces_1</v>
      </c>
      <c r="D231" s="197" t="str">
        <f ca="1">'unit calc'!A226</f>
        <v>experienced, _72</v>
      </c>
    </row>
    <row r="232" spans="1:4" x14ac:dyDescent="0.35">
      <c r="A232" t="s">
        <v>164</v>
      </c>
      <c r="B232" t="s">
        <v>13</v>
      </c>
      <c r="C232" s="64" t="s">
        <v>504</v>
      </c>
      <c r="D232" s="197" t="str">
        <f ca="1">'unit calc'!A40</f>
        <v>mmg team_75</v>
      </c>
    </row>
    <row r="233" spans="1:4" x14ac:dyDescent="0.35">
      <c r="A233" t="s">
        <v>164</v>
      </c>
      <c r="B233" t="s">
        <v>13</v>
      </c>
      <c r="C233" s="64" t="s">
        <v>504</v>
      </c>
      <c r="D233" s="197" t="str">
        <f ca="1">'unit calc'!A41</f>
        <v>hmg team_82</v>
      </c>
    </row>
    <row r="234" spans="1:4" x14ac:dyDescent="0.35">
      <c r="A234" t="s">
        <v>164</v>
      </c>
      <c r="B234" t="s">
        <v>13</v>
      </c>
      <c r="C234" s="64" t="s">
        <v>504</v>
      </c>
      <c r="D234" s="197" t="str">
        <f ca="1">'unit calc'!A42</f>
        <v>sniper_60</v>
      </c>
    </row>
    <row r="235" spans="1:4" x14ac:dyDescent="0.35">
      <c r="A235" t="s">
        <v>164</v>
      </c>
      <c r="B235" t="s">
        <v>13</v>
      </c>
      <c r="C235" s="64" t="s">
        <v>504</v>
      </c>
      <c r="D235" s="197" t="str">
        <f ca="1">'unit calc'!A43</f>
        <v>mpat team_68</v>
      </c>
    </row>
    <row r="236" spans="1:4" x14ac:dyDescent="0.35">
      <c r="A236" t="s">
        <v>164</v>
      </c>
      <c r="B236" t="s">
        <v>13</v>
      </c>
      <c r="C236" s="64" t="s">
        <v>504</v>
      </c>
      <c r="D236" s="197" t="str">
        <f ca="1">'unit calc'!A44</f>
        <v>flame thrower team_85</v>
      </c>
    </row>
    <row r="237" spans="1:4" x14ac:dyDescent="0.35">
      <c r="A237" t="s">
        <v>164</v>
      </c>
      <c r="B237" t="s">
        <v>13</v>
      </c>
      <c r="C237" s="64" t="s">
        <v>504</v>
      </c>
      <c r="D237" s="197" t="str">
        <f ca="1">'unit calc'!A45</f>
        <v>mortar team_98</v>
      </c>
    </row>
    <row r="238" spans="1:4" x14ac:dyDescent="0.35">
      <c r="A238" t="s">
        <v>164</v>
      </c>
      <c r="B238" t="s">
        <v>13</v>
      </c>
      <c r="C238" t="str">
        <f>I3</f>
        <v>feild_gun</v>
      </c>
      <c r="D238" s="197" t="str">
        <f ca="1">'unit calc'!A166</f>
        <v>20mm flak 30/38_48</v>
      </c>
    </row>
    <row r="239" spans="1:4" x14ac:dyDescent="0.35">
      <c r="A239" t="s">
        <v>164</v>
      </c>
      <c r="B239" t="s">
        <v>13</v>
      </c>
      <c r="C239" t="str">
        <f>I3</f>
        <v>feild_gun</v>
      </c>
      <c r="D239" s="197" t="str">
        <f ca="1">'unit calc'!A167</f>
        <v>37mm pak 36_32</v>
      </c>
    </row>
    <row r="240" spans="1:4" x14ac:dyDescent="0.35">
      <c r="A240" t="s">
        <v>164</v>
      </c>
      <c r="B240" t="s">
        <v>13</v>
      </c>
      <c r="C240" t="str">
        <f>I3</f>
        <v>feild_gun</v>
      </c>
      <c r="D240" s="197" t="str">
        <f ca="1">'unit calc'!A168</f>
        <v>50mm pak 38_42</v>
      </c>
    </row>
    <row r="241" spans="1:4" x14ac:dyDescent="0.35">
      <c r="A241" t="s">
        <v>164</v>
      </c>
      <c r="B241" t="s">
        <v>13</v>
      </c>
      <c r="C241" t="str">
        <f>I3</f>
        <v>feild_gun</v>
      </c>
      <c r="D241" s="197" t="str">
        <f ca="1">'unit calc'!A169</f>
        <v>75mm pak 40_102</v>
      </c>
    </row>
    <row r="242" spans="1:4" x14ac:dyDescent="0.35">
      <c r="A242" t="s">
        <v>164</v>
      </c>
      <c r="B242" t="s">
        <v>13</v>
      </c>
      <c r="C242" t="str">
        <f>I3</f>
        <v>feild_gun</v>
      </c>
      <c r="D242" s="197" t="str">
        <f ca="1">'unit calc'!A170</f>
        <v>88mm pak 43_144</v>
      </c>
    </row>
    <row r="243" spans="1:4" x14ac:dyDescent="0.35">
      <c r="A243" t="s">
        <v>164</v>
      </c>
      <c r="B243" t="s">
        <v>13</v>
      </c>
      <c r="C243" s="13" t="s">
        <v>365</v>
      </c>
      <c r="D243" s="197" t="str">
        <f ca="1">'unit calc'!A196</f>
        <v>20mm flak 30/38_152</v>
      </c>
    </row>
    <row r="244" spans="1:4" x14ac:dyDescent="0.35">
      <c r="A244" t="s">
        <v>164</v>
      </c>
      <c r="B244" t="s">
        <v>13</v>
      </c>
      <c r="C244" s="13" t="s">
        <v>365</v>
      </c>
      <c r="D244" s="197" t="str">
        <f ca="1">'unit calc'!A197</f>
        <v>37mm pak 36_136</v>
      </c>
    </row>
    <row r="245" spans="1:4" x14ac:dyDescent="0.35">
      <c r="A245" t="s">
        <v>164</v>
      </c>
      <c r="B245" t="s">
        <v>13</v>
      </c>
      <c r="C245" s="13" t="s">
        <v>365</v>
      </c>
      <c r="D245" s="197" t="str">
        <f ca="1">'unit calc'!A198</f>
        <v>50mm pak 38_146</v>
      </c>
    </row>
    <row r="246" spans="1:4" x14ac:dyDescent="0.35">
      <c r="A246" t="s">
        <v>164</v>
      </c>
      <c r="B246" t="s">
        <v>13</v>
      </c>
      <c r="C246" s="13" t="s">
        <v>365</v>
      </c>
      <c r="D246" s="197" t="str">
        <f ca="1">'unit calc'!A199</f>
        <v>75mm pak 40_219</v>
      </c>
    </row>
    <row r="247" spans="1:4" x14ac:dyDescent="0.35">
      <c r="A247" t="s">
        <v>164</v>
      </c>
      <c r="B247" t="s">
        <v>13</v>
      </c>
      <c r="C247" s="13" t="s">
        <v>365</v>
      </c>
      <c r="D247" s="197" t="str">
        <f ca="1">'unit calc'!A200</f>
        <v>88mm pak 43_261</v>
      </c>
    </row>
    <row r="248" spans="1:4" x14ac:dyDescent="0.35">
      <c r="A248" t="s">
        <v>164</v>
      </c>
      <c r="B248" t="s">
        <v>13</v>
      </c>
      <c r="C248" s="13" t="s">
        <v>50</v>
      </c>
      <c r="D248" s="197" t="str">
        <f ca="1">'unit calc'!A57</f>
        <v>jeep_16</v>
      </c>
    </row>
    <row r="249" spans="1:4" x14ac:dyDescent="0.35">
      <c r="A249" t="s">
        <v>164</v>
      </c>
      <c r="B249" t="s">
        <v>13</v>
      </c>
      <c r="C249" s="13" t="s">
        <v>50</v>
      </c>
      <c r="D249" s="197" t="str">
        <f ca="1">'unit calc'!A58</f>
        <v>truck_34</v>
      </c>
    </row>
    <row r="250" spans="1:4" x14ac:dyDescent="0.35">
      <c r="A250" t="s">
        <v>164</v>
      </c>
      <c r="B250" t="s">
        <v>13</v>
      </c>
      <c r="C250" s="13" t="s">
        <v>50</v>
      </c>
      <c r="D250" s="197" t="str">
        <f ca="1">'unit calc'!A60</f>
        <v>armoured car_95</v>
      </c>
    </row>
    <row r="251" spans="1:4" x14ac:dyDescent="0.35">
      <c r="A251" t="s">
        <v>164</v>
      </c>
      <c r="B251" t="s">
        <v>13</v>
      </c>
      <c r="C251" s="13" t="s">
        <v>50</v>
      </c>
      <c r="D251" s="197" t="str">
        <f ca="1">'unit calc'!A61</f>
        <v>half track_89</v>
      </c>
    </row>
    <row r="252" spans="1:4" x14ac:dyDescent="0.35">
      <c r="A252" t="s">
        <v>164</v>
      </c>
      <c r="B252" t="s">
        <v>13</v>
      </c>
      <c r="C252" s="13" t="s">
        <v>50</v>
      </c>
      <c r="D252" s="197" t="str">
        <f ca="1">'unit calc'!A71</f>
        <v>Schwerer 234/1 AC_170</v>
      </c>
    </row>
    <row r="253" spans="1:4" x14ac:dyDescent="0.35">
      <c r="A253" t="s">
        <v>164</v>
      </c>
      <c r="B253" t="s">
        <v>13</v>
      </c>
      <c r="C253" s="13" t="s">
        <v>50</v>
      </c>
      <c r="D253" s="197" t="str">
        <f ca="1">'unit calc'!A72</f>
        <v>Schwerer 234/2_180</v>
      </c>
    </row>
    <row r="254" spans="1:4" x14ac:dyDescent="0.35">
      <c r="A254" t="s">
        <v>164</v>
      </c>
      <c r="B254" t="s">
        <v>13</v>
      </c>
      <c r="C254" s="13" t="s">
        <v>50</v>
      </c>
      <c r="D254" s="197" t="str">
        <f ca="1">'unit calc'!A73</f>
        <v>Schwerer 234/3 HOW_205</v>
      </c>
    </row>
    <row r="255" spans="1:4" x14ac:dyDescent="0.35">
      <c r="A255" t="s">
        <v>164</v>
      </c>
      <c r="B255" t="s">
        <v>13</v>
      </c>
      <c r="C255" s="13" t="s">
        <v>50</v>
      </c>
      <c r="D255" s="197" t="str">
        <f ca="1">'unit calc'!A74</f>
        <v>Schwerer 234/4_245</v>
      </c>
    </row>
    <row r="256" spans="1:4" ht="15.5" customHeight="1" x14ac:dyDescent="0.35">
      <c r="A256" t="s">
        <v>164</v>
      </c>
      <c r="B256" t="s">
        <v>13</v>
      </c>
      <c r="C256" s="13" t="s">
        <v>50</v>
      </c>
      <c r="D256" s="197" t="str">
        <f ca="1">'unit calc'!A77</f>
        <v>Panzer III J_275</v>
      </c>
    </row>
    <row r="257" spans="1:4" x14ac:dyDescent="0.35">
      <c r="A257" t="s">
        <v>164</v>
      </c>
      <c r="B257" t="s">
        <v>13</v>
      </c>
      <c r="C257" s="13" t="s">
        <v>374</v>
      </c>
      <c r="D257" s="197" t="str">
        <f ca="1">'unit calc'!A71</f>
        <v>Schwerer 234/1 AC_170</v>
      </c>
    </row>
    <row r="258" spans="1:4" x14ac:dyDescent="0.35">
      <c r="A258" t="s">
        <v>164</v>
      </c>
      <c r="B258" t="s">
        <v>13</v>
      </c>
      <c r="C258" s="13" t="s">
        <v>374</v>
      </c>
      <c r="D258" s="197" t="str">
        <f ca="1">'unit calc'!A72</f>
        <v>Schwerer 234/2_180</v>
      </c>
    </row>
    <row r="259" spans="1:4" x14ac:dyDescent="0.35">
      <c r="A259" t="s">
        <v>164</v>
      </c>
      <c r="B259" t="s">
        <v>13</v>
      </c>
      <c r="C259" s="13" t="s">
        <v>374</v>
      </c>
      <c r="D259" s="197" t="str">
        <f ca="1">'unit calc'!A73</f>
        <v>Schwerer 234/3 HOW_205</v>
      </c>
    </row>
    <row r="260" spans="1:4" x14ac:dyDescent="0.35">
      <c r="A260" t="s">
        <v>164</v>
      </c>
      <c r="B260" t="s">
        <v>13</v>
      </c>
      <c r="C260" s="13" t="s">
        <v>374</v>
      </c>
      <c r="D260" s="197" t="str">
        <f ca="1">'unit calc'!A74</f>
        <v>Schwerer 234/4_245</v>
      </c>
    </row>
    <row r="261" spans="1:4" x14ac:dyDescent="0.35">
      <c r="A261" t="s">
        <v>164</v>
      </c>
      <c r="B261" t="s">
        <v>13</v>
      </c>
      <c r="C261" s="13" t="s">
        <v>374</v>
      </c>
      <c r="D261" s="197" t="str">
        <f ca="1">'unit calc'!A77</f>
        <v>Panzer III J_275</v>
      </c>
    </row>
    <row r="262" spans="1:4" x14ac:dyDescent="0.35">
      <c r="A262" t="s">
        <v>164</v>
      </c>
      <c r="B262" t="s">
        <v>373</v>
      </c>
      <c r="C262" s="64" t="s">
        <v>368</v>
      </c>
      <c r="D262" t="str">
        <f ca="1">'unit calc'!A32</f>
        <v>rifle squad_250</v>
      </c>
    </row>
    <row r="263" spans="1:4" x14ac:dyDescent="0.35">
      <c r="A263" t="s">
        <v>164</v>
      </c>
      <c r="B263" t="s">
        <v>373</v>
      </c>
      <c r="C263" s="64" t="s">
        <v>368</v>
      </c>
      <c r="D263" t="str">
        <f ca="1">'unit calc'!A33</f>
        <v>assault squad_205</v>
      </c>
    </row>
    <row r="264" spans="1:4" x14ac:dyDescent="0.35">
      <c r="A264" t="s">
        <v>164</v>
      </c>
      <c r="B264" t="s">
        <v>373</v>
      </c>
      <c r="C264" s="64" t="s">
        <v>368</v>
      </c>
      <c r="D264" t="str">
        <f ca="1">'unit calc'!A34</f>
        <v>gun squad_243</v>
      </c>
    </row>
    <row r="265" spans="1:4" x14ac:dyDescent="0.35">
      <c r="A265" t="s">
        <v>164</v>
      </c>
      <c r="B265" t="s">
        <v>373</v>
      </c>
      <c r="C265" s="64" t="s">
        <v>368</v>
      </c>
      <c r="D265" t="str">
        <f ca="1">'unit calc'!A35</f>
        <v>recon squad_171</v>
      </c>
    </row>
    <row r="266" spans="1:4" x14ac:dyDescent="0.35">
      <c r="A266" t="s">
        <v>164</v>
      </c>
      <c r="B266" t="s">
        <v>373</v>
      </c>
      <c r="C266" s="64" t="s">
        <v>106</v>
      </c>
      <c r="D266" t="str">
        <f ca="1">'unit calc'!A129</f>
        <v>mortar squad_209</v>
      </c>
    </row>
    <row r="267" spans="1:4" x14ac:dyDescent="0.35">
      <c r="A267" t="s">
        <v>164</v>
      </c>
      <c r="B267" t="s">
        <v>373</v>
      </c>
      <c r="C267" s="64" t="s">
        <v>106</v>
      </c>
      <c r="D267" t="str">
        <f ca="1">'unit calc'!A130</f>
        <v>mortar x2 squad_261</v>
      </c>
    </row>
    <row r="268" spans="1:4" x14ac:dyDescent="0.35">
      <c r="A268" t="s">
        <v>164</v>
      </c>
      <c r="B268" t="s">
        <v>373</v>
      </c>
      <c r="C268" s="64" t="s">
        <v>106</v>
      </c>
      <c r="D268" t="str">
        <f ca="1">'unit calc'!A131</f>
        <v>MPAT squad_179</v>
      </c>
    </row>
    <row r="269" spans="1:4" x14ac:dyDescent="0.35">
      <c r="A269" t="s">
        <v>164</v>
      </c>
      <c r="B269" t="s">
        <v>373</v>
      </c>
      <c r="C269" s="64" t="s">
        <v>106</v>
      </c>
      <c r="D269" t="str">
        <f ca="1">'unit calc'!A132</f>
        <v>MPAT x2 squad_201</v>
      </c>
    </row>
    <row r="270" spans="1:4" x14ac:dyDescent="0.35">
      <c r="A270" t="s">
        <v>164</v>
      </c>
      <c r="B270" t="s">
        <v>373</v>
      </c>
      <c r="C270" s="64" t="s">
        <v>106</v>
      </c>
      <c r="D270" t="str">
        <f ca="1">'unit calc'!A133</f>
        <v>MMG squad_186</v>
      </c>
    </row>
    <row r="271" spans="1:4" x14ac:dyDescent="0.35">
      <c r="A271" t="s">
        <v>164</v>
      </c>
      <c r="B271" t="s">
        <v>373</v>
      </c>
      <c r="C271" s="64" t="s">
        <v>106</v>
      </c>
      <c r="D271" t="str">
        <f ca="1">'unit calc'!A134</f>
        <v>MMG x2 squad_215</v>
      </c>
    </row>
    <row r="272" spans="1:4" x14ac:dyDescent="0.35">
      <c r="A272" t="s">
        <v>164</v>
      </c>
      <c r="B272" t="s">
        <v>373</v>
      </c>
      <c r="C272" s="64" t="s">
        <v>106</v>
      </c>
      <c r="D272" t="str">
        <f ca="1">'unit calc'!A135</f>
        <v>MMG, HMG squad_222</v>
      </c>
    </row>
    <row r="273" spans="1:4" x14ac:dyDescent="0.35">
      <c r="A273" t="s">
        <v>164</v>
      </c>
      <c r="B273" t="s">
        <v>373</v>
      </c>
      <c r="C273" s="64" t="s">
        <v>106</v>
      </c>
      <c r="D273" t="str">
        <f ca="1">'unit calc'!A136</f>
        <v>HMG_193</v>
      </c>
    </row>
    <row r="274" spans="1:4" x14ac:dyDescent="0.35">
      <c r="A274" t="s">
        <v>164</v>
      </c>
      <c r="B274" t="s">
        <v>373</v>
      </c>
      <c r="C274" s="64" t="s">
        <v>106</v>
      </c>
      <c r="D274" t="str">
        <f ca="1">'unit calc'!A137</f>
        <v>HMG x2 squad_229</v>
      </c>
    </row>
    <row r="275" spans="1:4" x14ac:dyDescent="0.35">
      <c r="A275" t="s">
        <v>164</v>
      </c>
      <c r="B275" t="s">
        <v>373</v>
      </c>
      <c r="C275" s="64" t="s">
        <v>106</v>
      </c>
      <c r="D275" t="str">
        <f ca="1">'unit calc'!A138</f>
        <v>flame squad_196</v>
      </c>
    </row>
    <row r="276" spans="1:4" x14ac:dyDescent="0.35">
      <c r="A276" t="s">
        <v>164</v>
      </c>
      <c r="B276" t="s">
        <v>373</v>
      </c>
      <c r="C276" s="64" t="s">
        <v>106</v>
      </c>
      <c r="D276" t="str">
        <f ca="1">'unit calc'!A139</f>
        <v>FLAME x2 squad_235</v>
      </c>
    </row>
    <row r="277" spans="1:4" x14ac:dyDescent="0.35">
      <c r="A277" t="s">
        <v>164</v>
      </c>
      <c r="B277" t="s">
        <v>373</v>
      </c>
      <c r="C277" s="64" t="s">
        <v>106</v>
      </c>
      <c r="D277" t="str">
        <f ca="1">'unit calc'!A140</f>
        <v>marksman squad_184</v>
      </c>
    </row>
    <row r="278" spans="1:4" x14ac:dyDescent="0.35">
      <c r="A278" t="s">
        <v>164</v>
      </c>
      <c r="B278" t="s">
        <v>373</v>
      </c>
      <c r="C278" s="64" t="s">
        <v>106</v>
      </c>
      <c r="D278" t="str">
        <f ca="1">'unit calc'!A141</f>
        <v>marksman x2 squad_211</v>
      </c>
    </row>
    <row r="279" spans="1:4" x14ac:dyDescent="0.35">
      <c r="A279" t="s">
        <v>164</v>
      </c>
      <c r="B279" t="s">
        <v>373</v>
      </c>
      <c r="C279" s="64" t="str">
        <f>G5</f>
        <v>special_forces_1</v>
      </c>
      <c r="D279" s="197" t="str">
        <f ca="1">'unit calc'!A226</f>
        <v>experienced, _72</v>
      </c>
    </row>
    <row r="280" spans="1:4" x14ac:dyDescent="0.35">
      <c r="A280" t="s">
        <v>164</v>
      </c>
      <c r="B280" t="s">
        <v>373</v>
      </c>
      <c r="C280" s="64" t="str">
        <f t="shared" ref="C280:C281" si="2">G6</f>
        <v>special_forces_2</v>
      </c>
      <c r="D280" s="197" t="str">
        <f ca="1">'unit calc'!A227</f>
        <v>experienced, _72</v>
      </c>
    </row>
    <row r="281" spans="1:4" x14ac:dyDescent="0.35">
      <c r="A281" t="s">
        <v>164</v>
      </c>
      <c r="B281" t="s">
        <v>373</v>
      </c>
      <c r="C281" s="64" t="str">
        <f t="shared" si="2"/>
        <v>special_forces_3</v>
      </c>
      <c r="D281" s="197" t="str">
        <f ca="1">'unit calc'!A228</f>
        <v>conscript, _59</v>
      </c>
    </row>
    <row r="282" spans="1:4" x14ac:dyDescent="0.35">
      <c r="A282" t="s">
        <v>164</v>
      </c>
      <c r="B282" t="s">
        <v>373</v>
      </c>
      <c r="C282" s="64" t="s">
        <v>504</v>
      </c>
      <c r="D282" s="197" t="str">
        <f ca="1">'unit calc'!A40</f>
        <v>mmg team_75</v>
      </c>
    </row>
    <row r="283" spans="1:4" x14ac:dyDescent="0.35">
      <c r="A283" t="s">
        <v>164</v>
      </c>
      <c r="B283" t="s">
        <v>373</v>
      </c>
      <c r="C283" s="64" t="s">
        <v>504</v>
      </c>
      <c r="D283" s="197" t="str">
        <f ca="1">'unit calc'!A41</f>
        <v>hmg team_82</v>
      </c>
    </row>
    <row r="284" spans="1:4" x14ac:dyDescent="0.35">
      <c r="A284" t="s">
        <v>164</v>
      </c>
      <c r="B284" t="s">
        <v>373</v>
      </c>
      <c r="C284" s="64" t="s">
        <v>504</v>
      </c>
      <c r="D284" s="197" t="str">
        <f ca="1">'unit calc'!A42</f>
        <v>sniper_60</v>
      </c>
    </row>
    <row r="285" spans="1:4" x14ac:dyDescent="0.35">
      <c r="A285" t="s">
        <v>164</v>
      </c>
      <c r="B285" t="s">
        <v>373</v>
      </c>
      <c r="C285" s="64" t="s">
        <v>504</v>
      </c>
      <c r="D285" s="197" t="str">
        <f ca="1">'unit calc'!A43</f>
        <v>mpat team_68</v>
      </c>
    </row>
    <row r="286" spans="1:4" x14ac:dyDescent="0.35">
      <c r="A286" t="s">
        <v>164</v>
      </c>
      <c r="B286" t="s">
        <v>373</v>
      </c>
      <c r="C286" s="64" t="s">
        <v>504</v>
      </c>
      <c r="D286" s="197" t="str">
        <f ca="1">'unit calc'!A44</f>
        <v>flame thrower team_85</v>
      </c>
    </row>
    <row r="287" spans="1:4" x14ac:dyDescent="0.35">
      <c r="A287" t="s">
        <v>164</v>
      </c>
      <c r="B287" t="s">
        <v>373</v>
      </c>
      <c r="C287" s="64" t="s">
        <v>504</v>
      </c>
      <c r="D287" s="197" t="str">
        <f ca="1">'unit calc'!A45</f>
        <v>mortar team_98</v>
      </c>
    </row>
    <row r="288" spans="1:4" x14ac:dyDescent="0.35">
      <c r="A288" t="s">
        <v>164</v>
      </c>
      <c r="B288" t="s">
        <v>98</v>
      </c>
      <c r="C288" s="64" t="s">
        <v>368</v>
      </c>
      <c r="D288" t="str">
        <f ca="1">'unit calc'!A32</f>
        <v>rifle squad_250</v>
      </c>
    </row>
    <row r="289" spans="1:4" x14ac:dyDescent="0.35">
      <c r="A289" t="s">
        <v>164</v>
      </c>
      <c r="B289" t="s">
        <v>98</v>
      </c>
      <c r="C289" s="64" t="s">
        <v>368</v>
      </c>
      <c r="D289" t="str">
        <f ca="1">'unit calc'!A33</f>
        <v>assault squad_205</v>
      </c>
    </row>
    <row r="290" spans="1:4" x14ac:dyDescent="0.35">
      <c r="A290" t="s">
        <v>164</v>
      </c>
      <c r="B290" t="s">
        <v>98</v>
      </c>
      <c r="C290" s="64" t="s">
        <v>368</v>
      </c>
      <c r="D290" t="str">
        <f ca="1">'unit calc'!A34</f>
        <v>gun squad_243</v>
      </c>
    </row>
    <row r="291" spans="1:4" x14ac:dyDescent="0.35">
      <c r="A291" t="s">
        <v>164</v>
      </c>
      <c r="B291" t="s">
        <v>98</v>
      </c>
      <c r="C291" s="64" t="s">
        <v>368</v>
      </c>
      <c r="D291" t="str">
        <f ca="1">'unit calc'!A35</f>
        <v>recon squad_171</v>
      </c>
    </row>
    <row r="292" spans="1:4" x14ac:dyDescent="0.35">
      <c r="A292" t="s">
        <v>164</v>
      </c>
      <c r="B292" t="s">
        <v>98</v>
      </c>
      <c r="C292" s="64" t="s">
        <v>106</v>
      </c>
      <c r="D292" t="str">
        <f ca="1">'unit calc'!A129</f>
        <v>mortar squad_209</v>
      </c>
    </row>
    <row r="293" spans="1:4" x14ac:dyDescent="0.35">
      <c r="A293" t="s">
        <v>164</v>
      </c>
      <c r="B293" t="s">
        <v>98</v>
      </c>
      <c r="C293" s="64" t="s">
        <v>106</v>
      </c>
      <c r="D293" t="str">
        <f ca="1">'unit calc'!A130</f>
        <v>mortar x2 squad_261</v>
      </c>
    </row>
    <row r="294" spans="1:4" x14ac:dyDescent="0.35">
      <c r="A294" t="s">
        <v>164</v>
      </c>
      <c r="B294" t="s">
        <v>98</v>
      </c>
      <c r="C294" s="64" t="s">
        <v>106</v>
      </c>
      <c r="D294" t="str">
        <f ca="1">'unit calc'!A131</f>
        <v>MPAT squad_179</v>
      </c>
    </row>
    <row r="295" spans="1:4" x14ac:dyDescent="0.35">
      <c r="A295" t="s">
        <v>164</v>
      </c>
      <c r="B295" t="s">
        <v>98</v>
      </c>
      <c r="C295" s="64" t="s">
        <v>106</v>
      </c>
      <c r="D295" t="str">
        <f ca="1">'unit calc'!A132</f>
        <v>MPAT x2 squad_201</v>
      </c>
    </row>
    <row r="296" spans="1:4" x14ac:dyDescent="0.35">
      <c r="A296" t="s">
        <v>164</v>
      </c>
      <c r="B296" t="s">
        <v>98</v>
      </c>
      <c r="C296" s="64" t="s">
        <v>106</v>
      </c>
      <c r="D296" t="str">
        <f ca="1">'unit calc'!A133</f>
        <v>MMG squad_186</v>
      </c>
    </row>
    <row r="297" spans="1:4" x14ac:dyDescent="0.35">
      <c r="A297" t="s">
        <v>164</v>
      </c>
      <c r="B297" t="s">
        <v>98</v>
      </c>
      <c r="C297" s="64" t="s">
        <v>106</v>
      </c>
      <c r="D297" t="str">
        <f ca="1">'unit calc'!A134</f>
        <v>MMG x2 squad_215</v>
      </c>
    </row>
    <row r="298" spans="1:4" x14ac:dyDescent="0.35">
      <c r="A298" t="s">
        <v>164</v>
      </c>
      <c r="B298" t="s">
        <v>98</v>
      </c>
      <c r="C298" s="64" t="s">
        <v>106</v>
      </c>
      <c r="D298" t="str">
        <f ca="1">'unit calc'!A135</f>
        <v>MMG, HMG squad_222</v>
      </c>
    </row>
    <row r="299" spans="1:4" x14ac:dyDescent="0.35">
      <c r="A299" t="s">
        <v>164</v>
      </c>
      <c r="B299" t="s">
        <v>98</v>
      </c>
      <c r="C299" s="64" t="s">
        <v>106</v>
      </c>
      <c r="D299" t="str">
        <f ca="1">'unit calc'!A136</f>
        <v>HMG_193</v>
      </c>
    </row>
    <row r="300" spans="1:4" x14ac:dyDescent="0.35">
      <c r="A300" t="s">
        <v>164</v>
      </c>
      <c r="B300" t="s">
        <v>98</v>
      </c>
      <c r="C300" s="64" t="s">
        <v>106</v>
      </c>
      <c r="D300" t="str">
        <f ca="1">'unit calc'!A137</f>
        <v>HMG x2 squad_229</v>
      </c>
    </row>
    <row r="301" spans="1:4" x14ac:dyDescent="0.35">
      <c r="A301" t="s">
        <v>164</v>
      </c>
      <c r="B301" t="s">
        <v>98</v>
      </c>
      <c r="C301" s="64" t="s">
        <v>106</v>
      </c>
      <c r="D301" t="str">
        <f ca="1">'unit calc'!A138</f>
        <v>flame squad_196</v>
      </c>
    </row>
    <row r="302" spans="1:4" x14ac:dyDescent="0.35">
      <c r="A302" t="s">
        <v>164</v>
      </c>
      <c r="B302" t="s">
        <v>98</v>
      </c>
      <c r="C302" s="64" t="s">
        <v>106</v>
      </c>
      <c r="D302" t="str">
        <f ca="1">'unit calc'!A139</f>
        <v>FLAME x2 squad_235</v>
      </c>
    </row>
    <row r="303" spans="1:4" x14ac:dyDescent="0.35">
      <c r="A303" t="s">
        <v>164</v>
      </c>
      <c r="B303" t="s">
        <v>98</v>
      </c>
      <c r="C303" s="64" t="s">
        <v>106</v>
      </c>
      <c r="D303" t="str">
        <f ca="1">'unit calc'!A140</f>
        <v>marksman squad_184</v>
      </c>
    </row>
    <row r="304" spans="1:4" x14ac:dyDescent="0.35">
      <c r="A304" t="s">
        <v>164</v>
      </c>
      <c r="B304" t="s">
        <v>98</v>
      </c>
      <c r="C304" s="64" t="s">
        <v>106</v>
      </c>
      <c r="D304" t="str">
        <f ca="1">'unit calc'!A141</f>
        <v>marksman x2 squad_211</v>
      </c>
    </row>
    <row r="305" spans="1:4" x14ac:dyDescent="0.35">
      <c r="A305" t="s">
        <v>164</v>
      </c>
      <c r="B305" t="s">
        <v>98</v>
      </c>
      <c r="C305" s="64" t="str">
        <f>G5</f>
        <v>special_forces_1</v>
      </c>
      <c r="D305" s="197" t="str">
        <f ca="1">'unit calc'!A226</f>
        <v>experienced, _72</v>
      </c>
    </row>
    <row r="306" spans="1:4" x14ac:dyDescent="0.35">
      <c r="A306" t="s">
        <v>164</v>
      </c>
      <c r="B306" t="s">
        <v>98</v>
      </c>
      <c r="C306" s="64" t="str">
        <f t="shared" ref="C306:C307" si="3">G6</f>
        <v>special_forces_2</v>
      </c>
      <c r="D306" s="197" t="str">
        <f ca="1">'unit calc'!A227</f>
        <v>experienced, _72</v>
      </c>
    </row>
    <row r="307" spans="1:4" x14ac:dyDescent="0.35">
      <c r="A307" t="s">
        <v>164</v>
      </c>
      <c r="B307" t="s">
        <v>98</v>
      </c>
      <c r="C307" s="64" t="str">
        <f t="shared" si="3"/>
        <v>special_forces_3</v>
      </c>
      <c r="D307" s="197" t="str">
        <f ca="1">'unit calc'!A228</f>
        <v>conscript, _59</v>
      </c>
    </row>
    <row r="308" spans="1:4" x14ac:dyDescent="0.35">
      <c r="A308" t="s">
        <v>164</v>
      </c>
      <c r="B308" t="s">
        <v>98</v>
      </c>
      <c r="C308" s="64" t="s">
        <v>504</v>
      </c>
      <c r="D308" s="197" t="str">
        <f ca="1">'unit calc'!A40</f>
        <v>mmg team_75</v>
      </c>
    </row>
    <row r="309" spans="1:4" x14ac:dyDescent="0.35">
      <c r="A309" t="s">
        <v>164</v>
      </c>
      <c r="B309" t="s">
        <v>98</v>
      </c>
      <c r="C309" s="64" t="s">
        <v>504</v>
      </c>
      <c r="D309" s="197" t="str">
        <f ca="1">'unit calc'!A41</f>
        <v>hmg team_82</v>
      </c>
    </row>
    <row r="310" spans="1:4" x14ac:dyDescent="0.35">
      <c r="A310" t="s">
        <v>164</v>
      </c>
      <c r="B310" t="s">
        <v>98</v>
      </c>
      <c r="C310" s="64" t="s">
        <v>504</v>
      </c>
      <c r="D310" s="197" t="str">
        <f ca="1">'unit calc'!A42</f>
        <v>sniper_60</v>
      </c>
    </row>
    <row r="311" spans="1:4" x14ac:dyDescent="0.35">
      <c r="A311" t="s">
        <v>164</v>
      </c>
      <c r="B311" t="s">
        <v>98</v>
      </c>
      <c r="C311" s="64" t="s">
        <v>504</v>
      </c>
      <c r="D311" s="197" t="str">
        <f ca="1">'unit calc'!A43</f>
        <v>mpat team_68</v>
      </c>
    </row>
    <row r="312" spans="1:4" x14ac:dyDescent="0.35">
      <c r="A312" t="s">
        <v>164</v>
      </c>
      <c r="B312" t="s">
        <v>98</v>
      </c>
      <c r="C312" s="64" t="s">
        <v>504</v>
      </c>
      <c r="D312" s="197" t="str">
        <f ca="1">'unit calc'!A44</f>
        <v>flame thrower team_85</v>
      </c>
    </row>
    <row r="313" spans="1:4" x14ac:dyDescent="0.35">
      <c r="A313" t="s">
        <v>164</v>
      </c>
      <c r="B313" t="s">
        <v>98</v>
      </c>
      <c r="C313" s="64" t="s">
        <v>504</v>
      </c>
      <c r="D313" s="197" t="str">
        <f ca="1">'unit calc'!A45</f>
        <v>mortar team_98</v>
      </c>
    </row>
    <row r="314" spans="1:4" x14ac:dyDescent="0.35">
      <c r="A314" t="s">
        <v>164</v>
      </c>
      <c r="B314" t="s">
        <v>98</v>
      </c>
      <c r="C314" t="str">
        <f>I3</f>
        <v>feild_gun</v>
      </c>
      <c r="D314" s="197" t="str">
        <f ca="1">'unit calc'!A166</f>
        <v>20mm flak 30/38_48</v>
      </c>
    </row>
    <row r="315" spans="1:4" x14ac:dyDescent="0.35">
      <c r="A315" t="s">
        <v>164</v>
      </c>
      <c r="B315" t="s">
        <v>98</v>
      </c>
      <c r="C315" t="str">
        <f>I3</f>
        <v>feild_gun</v>
      </c>
      <c r="D315" s="197" t="str">
        <f ca="1">'unit calc'!A167</f>
        <v>37mm pak 36_32</v>
      </c>
    </row>
    <row r="316" spans="1:4" x14ac:dyDescent="0.35">
      <c r="A316" t="s">
        <v>164</v>
      </c>
      <c r="B316" t="s">
        <v>98</v>
      </c>
      <c r="C316" t="str">
        <f>I3</f>
        <v>feild_gun</v>
      </c>
      <c r="D316" s="197" t="str">
        <f ca="1">'unit calc'!A168</f>
        <v>50mm pak 38_42</v>
      </c>
    </row>
    <row r="317" spans="1:4" x14ac:dyDescent="0.35">
      <c r="A317" t="s">
        <v>164</v>
      </c>
      <c r="B317" t="s">
        <v>98</v>
      </c>
      <c r="C317" t="str">
        <f>I3</f>
        <v>feild_gun</v>
      </c>
      <c r="D317" s="197" t="str">
        <f ca="1">'unit calc'!A169</f>
        <v>75mm pak 40_102</v>
      </c>
    </row>
    <row r="318" spans="1:4" x14ac:dyDescent="0.35">
      <c r="A318" t="s">
        <v>164</v>
      </c>
      <c r="B318" t="s">
        <v>98</v>
      </c>
      <c r="C318" t="str">
        <f>I3</f>
        <v>feild_gun</v>
      </c>
      <c r="D318" s="197" t="str">
        <f ca="1">'unit calc'!A170</f>
        <v>88mm pak 43_144</v>
      </c>
    </row>
    <row r="319" spans="1:4" x14ac:dyDescent="0.35">
      <c r="A319" t="s">
        <v>164</v>
      </c>
      <c r="B319" t="s">
        <v>98</v>
      </c>
      <c r="C319" s="13" t="s">
        <v>365</v>
      </c>
      <c r="D319" s="197" t="str">
        <f ca="1">'unit calc'!A196</f>
        <v>20mm flak 30/38_152</v>
      </c>
    </row>
    <row r="320" spans="1:4" x14ac:dyDescent="0.35">
      <c r="A320" t="s">
        <v>164</v>
      </c>
      <c r="B320" t="s">
        <v>98</v>
      </c>
      <c r="C320" s="13" t="s">
        <v>365</v>
      </c>
      <c r="D320" s="197" t="str">
        <f ca="1">'unit calc'!A197</f>
        <v>37mm pak 36_136</v>
      </c>
    </row>
    <row r="321" spans="1:4" x14ac:dyDescent="0.35">
      <c r="A321" t="s">
        <v>164</v>
      </c>
      <c r="B321" t="s">
        <v>98</v>
      </c>
      <c r="C321" s="13" t="s">
        <v>365</v>
      </c>
      <c r="D321" s="197" t="str">
        <f ca="1">'unit calc'!A198</f>
        <v>50mm pak 38_146</v>
      </c>
    </row>
    <row r="322" spans="1:4" x14ac:dyDescent="0.35">
      <c r="A322" t="s">
        <v>164</v>
      </c>
      <c r="B322" t="s">
        <v>98</v>
      </c>
      <c r="C322" s="13" t="s">
        <v>365</v>
      </c>
      <c r="D322" s="197" t="str">
        <f ca="1">'unit calc'!A199</f>
        <v>75mm pak 40_219</v>
      </c>
    </row>
    <row r="323" spans="1:4" x14ac:dyDescent="0.35">
      <c r="A323" t="s">
        <v>164</v>
      </c>
      <c r="B323" t="s">
        <v>98</v>
      </c>
      <c r="C323" s="13" t="s">
        <v>365</v>
      </c>
      <c r="D323" s="197" t="str">
        <f ca="1">'unit calc'!A200</f>
        <v>88mm pak 43_261</v>
      </c>
    </row>
    <row r="324" spans="1:4" x14ac:dyDescent="0.35">
      <c r="A324" t="s">
        <v>164</v>
      </c>
      <c r="B324" t="s">
        <v>98</v>
      </c>
      <c r="C324" s="13" t="s">
        <v>50</v>
      </c>
      <c r="D324" t="str">
        <f ca="1">'unit calc'!A57</f>
        <v>jeep_16</v>
      </c>
    </row>
    <row r="325" spans="1:4" x14ac:dyDescent="0.35">
      <c r="A325" t="s">
        <v>164</v>
      </c>
      <c r="B325" t="s">
        <v>98</v>
      </c>
      <c r="C325" s="13" t="s">
        <v>50</v>
      </c>
      <c r="D325" t="str">
        <f ca="1">'unit calc'!A58</f>
        <v>truck_34</v>
      </c>
    </row>
    <row r="326" spans="1:4" x14ac:dyDescent="0.35">
      <c r="A326" t="s">
        <v>164</v>
      </c>
      <c r="B326" t="s">
        <v>98</v>
      </c>
      <c r="C326" s="13" t="s">
        <v>50</v>
      </c>
      <c r="D326" t="str">
        <f ca="1">'unit calc'!A60</f>
        <v>armoured car_95</v>
      </c>
    </row>
    <row r="327" spans="1:4" x14ac:dyDescent="0.35">
      <c r="A327" t="s">
        <v>164</v>
      </c>
      <c r="B327" t="s">
        <v>98</v>
      </c>
      <c r="C327" s="13" t="s">
        <v>50</v>
      </c>
      <c r="D327" t="str">
        <f ca="1">'unit calc'!A61</f>
        <v>half track_89</v>
      </c>
    </row>
    <row r="328" spans="1:4" x14ac:dyDescent="0.35">
      <c r="A328" t="s">
        <v>164</v>
      </c>
      <c r="B328" t="s">
        <v>98</v>
      </c>
      <c r="C328" s="64" t="s">
        <v>374</v>
      </c>
      <c r="D328" t="str">
        <f ca="1">'unit calc'!A71</f>
        <v>Schwerer 234/1 AC_170</v>
      </c>
    </row>
    <row r="329" spans="1:4" x14ac:dyDescent="0.35">
      <c r="A329" t="s">
        <v>164</v>
      </c>
      <c r="B329" t="s">
        <v>98</v>
      </c>
      <c r="C329" s="64" t="s">
        <v>374</v>
      </c>
      <c r="D329" t="str">
        <f ca="1">'unit calc'!A72</f>
        <v>Schwerer 234/2_180</v>
      </c>
    </row>
    <row r="330" spans="1:4" x14ac:dyDescent="0.35">
      <c r="A330" t="s">
        <v>164</v>
      </c>
      <c r="B330" t="s">
        <v>98</v>
      </c>
      <c r="C330" s="64" t="s">
        <v>374</v>
      </c>
      <c r="D330" t="str">
        <f ca="1">'unit calc'!A73</f>
        <v>Schwerer 234/3 HOW_205</v>
      </c>
    </row>
    <row r="331" spans="1:4" x14ac:dyDescent="0.35">
      <c r="A331" t="s">
        <v>164</v>
      </c>
      <c r="B331" t="s">
        <v>98</v>
      </c>
      <c r="C331" s="64" t="s">
        <v>374</v>
      </c>
      <c r="D331" t="str">
        <f ca="1">'unit calc'!A74</f>
        <v>Schwerer 234/4_245</v>
      </c>
    </row>
    <row r="332" spans="1:4" x14ac:dyDescent="0.35">
      <c r="A332" t="s">
        <v>164</v>
      </c>
      <c r="B332" t="s">
        <v>98</v>
      </c>
      <c r="C332" s="64" t="s">
        <v>374</v>
      </c>
      <c r="D332" t="str">
        <f ca="1">'unit calc'!A77</f>
        <v>Panzer III J_275</v>
      </c>
    </row>
    <row r="333" spans="1:4" x14ac:dyDescent="0.35">
      <c r="A333" t="s">
        <v>164</v>
      </c>
      <c r="B333" t="s">
        <v>98</v>
      </c>
      <c r="C333" s="64" t="s">
        <v>374</v>
      </c>
      <c r="D333" t="str">
        <f ca="1">'unit calc'!A83</f>
        <v>StuG III F_380</v>
      </c>
    </row>
    <row r="334" spans="1:4" x14ac:dyDescent="0.35">
      <c r="A334" t="s">
        <v>164</v>
      </c>
      <c r="B334" t="s">
        <v>98</v>
      </c>
      <c r="C334" s="64" t="s">
        <v>374</v>
      </c>
      <c r="D334" t="str">
        <f ca="1">'unit calc'!A89</f>
        <v>Panzer IV F2_470</v>
      </c>
    </row>
    <row r="335" spans="1:4" x14ac:dyDescent="0.35">
      <c r="A335" t="s">
        <v>164</v>
      </c>
      <c r="B335" t="s">
        <v>98</v>
      </c>
      <c r="C335" s="64" t="s">
        <v>374</v>
      </c>
      <c r="D335" t="str">
        <f ca="1">'unit calc'!A93</f>
        <v>Tiger_870</v>
      </c>
    </row>
    <row r="336" spans="1:4" x14ac:dyDescent="0.35">
      <c r="A336" t="s">
        <v>164</v>
      </c>
      <c r="B336" t="s">
        <v>98</v>
      </c>
      <c r="C336" s="64" t="s">
        <v>374</v>
      </c>
      <c r="D336" t="str">
        <f ca="1">'unit calc'!A94</f>
        <v>Panther_620</v>
      </c>
    </row>
    <row r="337" spans="1:4" x14ac:dyDescent="0.35">
      <c r="A337" t="s">
        <v>164</v>
      </c>
      <c r="B337" t="s">
        <v>98</v>
      </c>
      <c r="C337" s="64" t="s">
        <v>374</v>
      </c>
      <c r="D337" t="str">
        <f ca="1">'unit calc'!A97</f>
        <v>Jagdpanther_700</v>
      </c>
    </row>
    <row r="338" spans="1:4" x14ac:dyDescent="0.35">
      <c r="A338" t="s">
        <v>164</v>
      </c>
      <c r="B338" t="s">
        <v>98</v>
      </c>
      <c r="C338" s="64" t="s">
        <v>374</v>
      </c>
      <c r="D338" t="str">
        <f ca="1">'unit calc'!A98</f>
        <v>King Tiger_970</v>
      </c>
    </row>
    <row r="339" spans="1:4" x14ac:dyDescent="0.35">
      <c r="A339" t="s">
        <v>164</v>
      </c>
      <c r="B339" t="s">
        <v>17</v>
      </c>
      <c r="C339" s="64" t="s">
        <v>89</v>
      </c>
      <c r="D339" s="197" t="str">
        <f ca="1">'unit calc'!A71</f>
        <v>Schwerer 234/1 AC_170</v>
      </c>
    </row>
    <row r="340" spans="1:4" x14ac:dyDescent="0.35">
      <c r="A340" t="s">
        <v>164</v>
      </c>
      <c r="B340" t="s">
        <v>17</v>
      </c>
      <c r="C340" s="64" t="s">
        <v>89</v>
      </c>
      <c r="D340" s="197" t="str">
        <f ca="1">'unit calc'!A72</f>
        <v>Schwerer 234/2_180</v>
      </c>
    </row>
    <row r="341" spans="1:4" x14ac:dyDescent="0.35">
      <c r="A341" t="s">
        <v>164</v>
      </c>
      <c r="B341" t="s">
        <v>17</v>
      </c>
      <c r="C341" s="64" t="s">
        <v>89</v>
      </c>
      <c r="D341" s="197" t="str">
        <f ca="1">'unit calc'!A73</f>
        <v>Schwerer 234/3 HOW_205</v>
      </c>
    </row>
    <row r="342" spans="1:4" x14ac:dyDescent="0.35">
      <c r="A342" t="s">
        <v>164</v>
      </c>
      <c r="B342" t="s">
        <v>17</v>
      </c>
      <c r="C342" s="64" t="s">
        <v>89</v>
      </c>
      <c r="D342" s="197" t="str">
        <f ca="1">'unit calc'!A74</f>
        <v>Schwerer 234/4_245</v>
      </c>
    </row>
    <row r="343" spans="1:4" x14ac:dyDescent="0.35">
      <c r="A343" t="s">
        <v>164</v>
      </c>
      <c r="B343" t="s">
        <v>17</v>
      </c>
      <c r="C343" s="64" t="s">
        <v>89</v>
      </c>
      <c r="D343" s="197" t="str">
        <f ca="1">'unit calc'!A77</f>
        <v>Panzer III J_275</v>
      </c>
    </row>
    <row r="344" spans="1:4" x14ac:dyDescent="0.35">
      <c r="A344" t="s">
        <v>164</v>
      </c>
      <c r="B344" t="s">
        <v>17</v>
      </c>
      <c r="C344" s="64" t="s">
        <v>89</v>
      </c>
      <c r="D344" s="197" t="str">
        <f ca="1">'unit calc'!A83</f>
        <v>StuG III F_380</v>
      </c>
    </row>
    <row r="345" spans="1:4" x14ac:dyDescent="0.35">
      <c r="A345" t="s">
        <v>164</v>
      </c>
      <c r="B345" t="s">
        <v>17</v>
      </c>
      <c r="C345" s="64" t="s">
        <v>89</v>
      </c>
      <c r="D345" s="197" t="str">
        <f ca="1">'unit calc'!A89</f>
        <v>Panzer IV F2_470</v>
      </c>
    </row>
    <row r="346" spans="1:4" x14ac:dyDescent="0.35">
      <c r="A346" t="s">
        <v>164</v>
      </c>
      <c r="B346" t="s">
        <v>17</v>
      </c>
      <c r="C346" s="64" t="s">
        <v>89</v>
      </c>
      <c r="D346" s="197" t="str">
        <f ca="1">'unit calc'!A93</f>
        <v>Tiger_870</v>
      </c>
    </row>
    <row r="347" spans="1:4" x14ac:dyDescent="0.35">
      <c r="A347" t="s">
        <v>164</v>
      </c>
      <c r="B347" t="s">
        <v>17</v>
      </c>
      <c r="C347" s="64" t="s">
        <v>89</v>
      </c>
      <c r="D347" s="197" t="str">
        <f ca="1">'unit calc'!A94</f>
        <v>Panther_620</v>
      </c>
    </row>
    <row r="348" spans="1:4" x14ac:dyDescent="0.35">
      <c r="A348" t="s">
        <v>164</v>
      </c>
      <c r="B348" t="s">
        <v>17</v>
      </c>
      <c r="C348" s="64" t="s">
        <v>89</v>
      </c>
      <c r="D348" s="197" t="str">
        <f ca="1">'unit calc'!A97</f>
        <v>Jagdpanther_700</v>
      </c>
    </row>
    <row r="349" spans="1:4" x14ac:dyDescent="0.35">
      <c r="A349" t="s">
        <v>164</v>
      </c>
      <c r="B349" t="s">
        <v>17</v>
      </c>
      <c r="C349" s="64" t="s">
        <v>89</v>
      </c>
      <c r="D349" s="197" t="str">
        <f ca="1">'unit calc'!A98</f>
        <v>King Tiger_970</v>
      </c>
    </row>
    <row r="350" spans="1:4" x14ac:dyDescent="0.35">
      <c r="A350" t="s">
        <v>164</v>
      </c>
      <c r="B350" t="s">
        <v>17</v>
      </c>
      <c r="C350" s="64" t="s">
        <v>374</v>
      </c>
      <c r="D350" t="str">
        <f ca="1">'unit calc'!A71</f>
        <v>Schwerer 234/1 AC_170</v>
      </c>
    </row>
    <row r="351" spans="1:4" x14ac:dyDescent="0.35">
      <c r="A351" t="s">
        <v>164</v>
      </c>
      <c r="B351" t="s">
        <v>17</v>
      </c>
      <c r="C351" s="64" t="s">
        <v>374</v>
      </c>
      <c r="D351" t="str">
        <f ca="1">'unit calc'!A72</f>
        <v>Schwerer 234/2_180</v>
      </c>
    </row>
    <row r="352" spans="1:4" x14ac:dyDescent="0.35">
      <c r="A352" t="s">
        <v>164</v>
      </c>
      <c r="B352" t="s">
        <v>17</v>
      </c>
      <c r="C352" s="64" t="s">
        <v>374</v>
      </c>
      <c r="D352" t="str">
        <f ca="1">'unit calc'!A73</f>
        <v>Schwerer 234/3 HOW_205</v>
      </c>
    </row>
    <row r="353" spans="1:4" x14ac:dyDescent="0.35">
      <c r="A353" t="s">
        <v>164</v>
      </c>
      <c r="B353" t="s">
        <v>17</v>
      </c>
      <c r="C353" s="64" t="s">
        <v>374</v>
      </c>
      <c r="D353" t="str">
        <f ca="1">'unit calc'!A74</f>
        <v>Schwerer 234/4_245</v>
      </c>
    </row>
    <row r="354" spans="1:4" x14ac:dyDescent="0.35">
      <c r="A354" t="s">
        <v>164</v>
      </c>
      <c r="B354" t="s">
        <v>17</v>
      </c>
      <c r="C354" s="64" t="s">
        <v>374</v>
      </c>
      <c r="D354" t="str">
        <f ca="1">'unit calc'!A77</f>
        <v>Panzer III J_275</v>
      </c>
    </row>
    <row r="355" spans="1:4" x14ac:dyDescent="0.35">
      <c r="A355" t="s">
        <v>164</v>
      </c>
      <c r="B355" t="s">
        <v>17</v>
      </c>
      <c r="C355" s="64" t="s">
        <v>374</v>
      </c>
      <c r="D355" t="str">
        <f ca="1">'unit calc'!A83</f>
        <v>StuG III F_380</v>
      </c>
    </row>
    <row r="356" spans="1:4" x14ac:dyDescent="0.35">
      <c r="A356" t="s">
        <v>164</v>
      </c>
      <c r="B356" t="s">
        <v>17</v>
      </c>
      <c r="C356" s="64" t="s">
        <v>374</v>
      </c>
      <c r="D356" t="str">
        <f ca="1">'unit calc'!A89</f>
        <v>Panzer IV F2_470</v>
      </c>
    </row>
    <row r="357" spans="1:4" x14ac:dyDescent="0.35">
      <c r="A357" t="s">
        <v>164</v>
      </c>
      <c r="B357" t="s">
        <v>17</v>
      </c>
      <c r="C357" s="64" t="s">
        <v>374</v>
      </c>
      <c r="D357" t="str">
        <f ca="1">'unit calc'!A93</f>
        <v>Tiger_870</v>
      </c>
    </row>
    <row r="358" spans="1:4" x14ac:dyDescent="0.35">
      <c r="A358" t="s">
        <v>164</v>
      </c>
      <c r="B358" t="s">
        <v>17</v>
      </c>
      <c r="C358" s="64" t="s">
        <v>374</v>
      </c>
      <c r="D358" t="str">
        <f ca="1">'unit calc'!A94</f>
        <v>Panther_620</v>
      </c>
    </row>
    <row r="359" spans="1:4" x14ac:dyDescent="0.35">
      <c r="A359" t="s">
        <v>164</v>
      </c>
      <c r="B359" t="s">
        <v>17</v>
      </c>
      <c r="C359" s="64" t="s">
        <v>374</v>
      </c>
      <c r="D359" t="str">
        <f ca="1">'unit calc'!A97</f>
        <v>Jagdpanther_700</v>
      </c>
    </row>
    <row r="360" spans="1:4" x14ac:dyDescent="0.35">
      <c r="A360" t="s">
        <v>164</v>
      </c>
      <c r="B360" t="s">
        <v>17</v>
      </c>
      <c r="C360" s="64" t="s">
        <v>374</v>
      </c>
      <c r="D360" t="str">
        <f ca="1">'unit calc'!A98</f>
        <v>King Tiger_970</v>
      </c>
    </row>
    <row r="361" spans="1:4" x14ac:dyDescent="0.35">
      <c r="A361" t="s">
        <v>88</v>
      </c>
      <c r="B361" t="s">
        <v>86</v>
      </c>
      <c r="C361" s="64" t="s">
        <v>368</v>
      </c>
      <c r="D361" s="197" t="str">
        <f ca="1">'unit calc'!A32</f>
        <v>rifle squad_250</v>
      </c>
    </row>
    <row r="362" spans="1:4" x14ac:dyDescent="0.35">
      <c r="A362" t="s">
        <v>88</v>
      </c>
      <c r="B362" t="s">
        <v>86</v>
      </c>
      <c r="C362" s="64" t="s">
        <v>368</v>
      </c>
      <c r="D362" s="197" t="str">
        <f ca="1">'unit calc'!A33</f>
        <v>assault squad_205</v>
      </c>
    </row>
    <row r="363" spans="1:4" x14ac:dyDescent="0.35">
      <c r="A363" t="s">
        <v>88</v>
      </c>
      <c r="B363" t="s">
        <v>86</v>
      </c>
      <c r="C363" s="64" t="s">
        <v>368</v>
      </c>
      <c r="D363" s="197" t="str">
        <f ca="1">'unit calc'!A34</f>
        <v>gun squad_243</v>
      </c>
    </row>
    <row r="364" spans="1:4" x14ac:dyDescent="0.35">
      <c r="A364" t="s">
        <v>88</v>
      </c>
      <c r="B364" t="s">
        <v>86</v>
      </c>
      <c r="C364" s="64" t="s">
        <v>368</v>
      </c>
      <c r="D364" s="197" t="str">
        <f ca="1">'unit calc'!A35</f>
        <v>recon squad_171</v>
      </c>
    </row>
    <row r="365" spans="1:4" x14ac:dyDescent="0.35">
      <c r="A365" t="s">
        <v>88</v>
      </c>
      <c r="B365" t="s">
        <v>86</v>
      </c>
      <c r="C365" s="64" t="s">
        <v>106</v>
      </c>
      <c r="D365" s="197" t="str">
        <f ca="1">'unit calc'!A129</f>
        <v>mortar squad_209</v>
      </c>
    </row>
    <row r="366" spans="1:4" x14ac:dyDescent="0.35">
      <c r="A366" t="s">
        <v>88</v>
      </c>
      <c r="B366" t="s">
        <v>86</v>
      </c>
      <c r="C366" s="64" t="s">
        <v>106</v>
      </c>
      <c r="D366" s="197" t="str">
        <f ca="1">'unit calc'!A130</f>
        <v>mortar x2 squad_261</v>
      </c>
    </row>
    <row r="367" spans="1:4" x14ac:dyDescent="0.35">
      <c r="A367" t="s">
        <v>88</v>
      </c>
      <c r="B367" t="s">
        <v>86</v>
      </c>
      <c r="C367" s="64" t="s">
        <v>106</v>
      </c>
      <c r="D367" s="197" t="str">
        <f ca="1">'unit calc'!A131</f>
        <v>MPAT squad_179</v>
      </c>
    </row>
    <row r="368" spans="1:4" x14ac:dyDescent="0.35">
      <c r="A368" t="s">
        <v>88</v>
      </c>
      <c r="B368" t="s">
        <v>86</v>
      </c>
      <c r="C368" s="64" t="s">
        <v>106</v>
      </c>
      <c r="D368" s="197" t="str">
        <f ca="1">'unit calc'!A132</f>
        <v>MPAT x2 squad_201</v>
      </c>
    </row>
    <row r="369" spans="1:4" x14ac:dyDescent="0.35">
      <c r="A369" t="s">
        <v>88</v>
      </c>
      <c r="B369" t="s">
        <v>86</v>
      </c>
      <c r="C369" s="64" t="s">
        <v>106</v>
      </c>
      <c r="D369" s="197" t="str">
        <f ca="1">'unit calc'!A133</f>
        <v>MMG squad_186</v>
      </c>
    </row>
    <row r="370" spans="1:4" x14ac:dyDescent="0.35">
      <c r="A370" t="s">
        <v>88</v>
      </c>
      <c r="B370" t="s">
        <v>86</v>
      </c>
      <c r="C370" s="64" t="s">
        <v>106</v>
      </c>
      <c r="D370" s="197" t="str">
        <f ca="1">'unit calc'!A134</f>
        <v>MMG x2 squad_215</v>
      </c>
    </row>
    <row r="371" spans="1:4" x14ac:dyDescent="0.35">
      <c r="A371" t="s">
        <v>88</v>
      </c>
      <c r="B371" t="s">
        <v>86</v>
      </c>
      <c r="C371" s="64" t="s">
        <v>106</v>
      </c>
      <c r="D371" s="197" t="str">
        <f ca="1">'unit calc'!A135</f>
        <v>MMG, HMG squad_222</v>
      </c>
    </row>
    <row r="372" spans="1:4" x14ac:dyDescent="0.35">
      <c r="A372" t="s">
        <v>88</v>
      </c>
      <c r="B372" t="s">
        <v>86</v>
      </c>
      <c r="C372" s="64" t="s">
        <v>106</v>
      </c>
      <c r="D372" s="197" t="str">
        <f ca="1">'unit calc'!A136</f>
        <v>HMG_193</v>
      </c>
    </row>
    <row r="373" spans="1:4" x14ac:dyDescent="0.35">
      <c r="A373" t="s">
        <v>88</v>
      </c>
      <c r="B373" t="s">
        <v>86</v>
      </c>
      <c r="C373" s="64" t="s">
        <v>106</v>
      </c>
      <c r="D373" s="197" t="str">
        <f ca="1">'unit calc'!A137</f>
        <v>HMG x2 squad_229</v>
      </c>
    </row>
    <row r="374" spans="1:4" x14ac:dyDescent="0.35">
      <c r="A374" t="s">
        <v>88</v>
      </c>
      <c r="B374" t="s">
        <v>86</v>
      </c>
      <c r="C374" s="64" t="s">
        <v>106</v>
      </c>
      <c r="D374" s="197" t="str">
        <f ca="1">'unit calc'!A138</f>
        <v>flame squad_196</v>
      </c>
    </row>
    <row r="375" spans="1:4" x14ac:dyDescent="0.35">
      <c r="A375" t="s">
        <v>88</v>
      </c>
      <c r="B375" t="s">
        <v>86</v>
      </c>
      <c r="C375" s="64" t="s">
        <v>106</v>
      </c>
      <c r="D375" s="197" t="str">
        <f ca="1">'unit calc'!A139</f>
        <v>FLAME x2 squad_235</v>
      </c>
    </row>
    <row r="376" spans="1:4" x14ac:dyDescent="0.35">
      <c r="A376" t="s">
        <v>88</v>
      </c>
      <c r="B376" t="s">
        <v>86</v>
      </c>
      <c r="C376" s="64" t="s">
        <v>106</v>
      </c>
      <c r="D376" s="197" t="str">
        <f ca="1">'unit calc'!A140</f>
        <v>marksman squad_184</v>
      </c>
    </row>
    <row r="377" spans="1:4" x14ac:dyDescent="0.35">
      <c r="A377" t="s">
        <v>88</v>
      </c>
      <c r="B377" t="s">
        <v>86</v>
      </c>
      <c r="C377" s="64" t="s">
        <v>106</v>
      </c>
      <c r="D377" s="197" t="str">
        <f ca="1">'unit calc'!A141</f>
        <v>marksman x2 squad_211</v>
      </c>
    </row>
    <row r="378" spans="1:4" x14ac:dyDescent="0.35">
      <c r="A378" t="s">
        <v>88</v>
      </c>
      <c r="B378" t="s">
        <v>86</v>
      </c>
      <c r="C378" s="64" t="str">
        <f>G5</f>
        <v>special_forces_1</v>
      </c>
      <c r="D378" s="197" t="str">
        <f ca="1">'unit calc'!A226</f>
        <v>experienced, _72</v>
      </c>
    </row>
    <row r="379" spans="1:4" x14ac:dyDescent="0.35">
      <c r="A379" t="s">
        <v>88</v>
      </c>
      <c r="B379" t="s">
        <v>86</v>
      </c>
      <c r="C379" s="64" t="str">
        <f>G6</f>
        <v>special_forces_2</v>
      </c>
      <c r="D379" s="197" t="str">
        <f ca="1">'unit calc'!A227</f>
        <v>experienced, _72</v>
      </c>
    </row>
    <row r="380" spans="1:4" x14ac:dyDescent="0.35">
      <c r="A380" t="s">
        <v>88</v>
      </c>
      <c r="B380" t="s">
        <v>86</v>
      </c>
      <c r="C380" s="64" t="s">
        <v>504</v>
      </c>
      <c r="D380" s="197" t="str">
        <f ca="1">'unit calc'!A40</f>
        <v>mmg team_75</v>
      </c>
    </row>
    <row r="381" spans="1:4" x14ac:dyDescent="0.35">
      <c r="A381" t="s">
        <v>88</v>
      </c>
      <c r="B381" t="s">
        <v>86</v>
      </c>
      <c r="C381" s="64" t="s">
        <v>504</v>
      </c>
      <c r="D381" s="197" t="str">
        <f ca="1">'unit calc'!A41</f>
        <v>hmg team_82</v>
      </c>
    </row>
    <row r="382" spans="1:4" x14ac:dyDescent="0.35">
      <c r="A382" t="s">
        <v>88</v>
      </c>
      <c r="B382" t="s">
        <v>86</v>
      </c>
      <c r="C382" s="64" t="s">
        <v>504</v>
      </c>
      <c r="D382" s="197" t="str">
        <f ca="1">'unit calc'!A42</f>
        <v>sniper_60</v>
      </c>
    </row>
    <row r="383" spans="1:4" x14ac:dyDescent="0.35">
      <c r="A383" t="s">
        <v>88</v>
      </c>
      <c r="B383" t="s">
        <v>86</v>
      </c>
      <c r="C383" s="64" t="s">
        <v>504</v>
      </c>
      <c r="D383" s="197" t="str">
        <f ca="1">'unit calc'!A43</f>
        <v>mpat team_68</v>
      </c>
    </row>
    <row r="384" spans="1:4" x14ac:dyDescent="0.35">
      <c r="A384" t="s">
        <v>88</v>
      </c>
      <c r="B384" t="s">
        <v>86</v>
      </c>
      <c r="C384" s="64" t="s">
        <v>504</v>
      </c>
      <c r="D384" s="197" t="str">
        <f ca="1">'unit calc'!A44</f>
        <v>flame thrower team_85</v>
      </c>
    </row>
    <row r="385" spans="1:4" x14ac:dyDescent="0.35">
      <c r="A385" t="s">
        <v>88</v>
      </c>
      <c r="B385" t="s">
        <v>86</v>
      </c>
      <c r="C385" s="64" t="s">
        <v>504</v>
      </c>
      <c r="D385" s="197" t="str">
        <f ca="1">'unit calc'!A45</f>
        <v>mortar team_98</v>
      </c>
    </row>
    <row r="386" spans="1:4" x14ac:dyDescent="0.35">
      <c r="A386" t="s">
        <v>88</v>
      </c>
      <c r="B386" t="s">
        <v>86</v>
      </c>
      <c r="C386" t="str">
        <f>I3</f>
        <v>feild_gun</v>
      </c>
      <c r="D386" s="197" t="str">
        <f ca="1">'unit calc'!A175</f>
        <v>20mm Oerlikon_48</v>
      </c>
    </row>
    <row r="387" spans="1:4" x14ac:dyDescent="0.35">
      <c r="A387" t="s">
        <v>88</v>
      </c>
      <c r="B387" t="s">
        <v>86</v>
      </c>
      <c r="C387" t="str">
        <f>I3</f>
        <v>feild_gun</v>
      </c>
      <c r="D387" s="197" t="str">
        <f ca="1">'unit calc'!A176</f>
        <v>QF 2-pounder_42</v>
      </c>
    </row>
    <row r="388" spans="1:4" x14ac:dyDescent="0.35">
      <c r="A388" t="s">
        <v>88</v>
      </c>
      <c r="B388" t="s">
        <v>86</v>
      </c>
      <c r="C388" t="str">
        <f>I3</f>
        <v>feild_gun</v>
      </c>
      <c r="D388" s="197" t="str">
        <f ca="1">'unit calc'!A177</f>
        <v>QF 6 pounder_68</v>
      </c>
    </row>
    <row r="389" spans="1:4" x14ac:dyDescent="0.35">
      <c r="A389" t="s">
        <v>88</v>
      </c>
      <c r="B389" t="s">
        <v>86</v>
      </c>
      <c r="C389" t="str">
        <f>I3</f>
        <v>feild_gun</v>
      </c>
      <c r="D389" s="197" t="str">
        <f ca="1">'unit calc'!A178</f>
        <v>QF 17 pounder_144</v>
      </c>
    </row>
    <row r="390" spans="1:4" x14ac:dyDescent="0.35">
      <c r="A390" t="s">
        <v>88</v>
      </c>
      <c r="B390" t="s">
        <v>86</v>
      </c>
      <c r="C390" s="13" t="s">
        <v>365</v>
      </c>
      <c r="D390" s="197" t="str">
        <f ca="1">'unit calc'!A205</f>
        <v>20mm Oerlikon_152</v>
      </c>
    </row>
    <row r="391" spans="1:4" x14ac:dyDescent="0.35">
      <c r="A391" t="s">
        <v>88</v>
      </c>
      <c r="B391" t="s">
        <v>86</v>
      </c>
      <c r="C391" s="13" t="s">
        <v>365</v>
      </c>
      <c r="D391" s="197" t="str">
        <f ca="1">'unit calc'!A206</f>
        <v>QF 2-pounder_146</v>
      </c>
    </row>
    <row r="392" spans="1:4" x14ac:dyDescent="0.35">
      <c r="A392" t="s">
        <v>88</v>
      </c>
      <c r="B392" t="s">
        <v>86</v>
      </c>
      <c r="C392" s="13" t="s">
        <v>365</v>
      </c>
      <c r="D392" s="197" t="str">
        <f ca="1">'unit calc'!A207</f>
        <v>QF 6 pounder_185</v>
      </c>
    </row>
    <row r="393" spans="1:4" x14ac:dyDescent="0.35">
      <c r="A393" t="s">
        <v>88</v>
      </c>
      <c r="B393" t="s">
        <v>86</v>
      </c>
      <c r="C393" s="13" t="s">
        <v>365</v>
      </c>
      <c r="D393" s="197" t="str">
        <f ca="1">'unit calc'!A208</f>
        <v>QF 17 pounder_261</v>
      </c>
    </row>
    <row r="394" spans="1:4" x14ac:dyDescent="0.35">
      <c r="A394" t="s">
        <v>88</v>
      </c>
      <c r="B394" t="s">
        <v>86</v>
      </c>
      <c r="C394" s="13" t="s">
        <v>50</v>
      </c>
      <c r="D394" s="197" t="str">
        <f ca="1">'unit calc'!A57</f>
        <v>jeep_16</v>
      </c>
    </row>
    <row r="395" spans="1:4" x14ac:dyDescent="0.35">
      <c r="A395" t="s">
        <v>88</v>
      </c>
      <c r="B395" t="s">
        <v>86</v>
      </c>
      <c r="C395" s="13" t="s">
        <v>50</v>
      </c>
      <c r="D395" s="197" t="str">
        <f ca="1">'unit calc'!A58</f>
        <v>truck_34</v>
      </c>
    </row>
    <row r="396" spans="1:4" x14ac:dyDescent="0.35">
      <c r="A396" t="s">
        <v>88</v>
      </c>
      <c r="B396" t="s">
        <v>86</v>
      </c>
      <c r="C396" s="13" t="s">
        <v>50</v>
      </c>
      <c r="D396" s="197" t="str">
        <f ca="1">'unit calc'!A60</f>
        <v>armoured car_95</v>
      </c>
    </row>
    <row r="397" spans="1:4" x14ac:dyDescent="0.35">
      <c r="A397" t="s">
        <v>88</v>
      </c>
      <c r="B397" t="s">
        <v>13</v>
      </c>
      <c r="C397" s="64" t="s">
        <v>368</v>
      </c>
      <c r="D397" s="197" t="str">
        <f ca="1">'unit calc'!A32</f>
        <v>rifle squad_250</v>
      </c>
    </row>
    <row r="398" spans="1:4" x14ac:dyDescent="0.35">
      <c r="A398" t="s">
        <v>88</v>
      </c>
      <c r="B398" t="s">
        <v>13</v>
      </c>
      <c r="C398" s="64" t="s">
        <v>368</v>
      </c>
      <c r="D398" s="197" t="str">
        <f ca="1">'unit calc'!A33</f>
        <v>assault squad_205</v>
      </c>
    </row>
    <row r="399" spans="1:4" x14ac:dyDescent="0.35">
      <c r="A399" t="s">
        <v>88</v>
      </c>
      <c r="B399" t="s">
        <v>13</v>
      </c>
      <c r="C399" s="64" t="s">
        <v>368</v>
      </c>
      <c r="D399" s="197" t="str">
        <f ca="1">'unit calc'!A34</f>
        <v>gun squad_243</v>
      </c>
    </row>
    <row r="400" spans="1:4" x14ac:dyDescent="0.35">
      <c r="A400" t="s">
        <v>88</v>
      </c>
      <c r="B400" t="s">
        <v>13</v>
      </c>
      <c r="C400" s="64" t="s">
        <v>368</v>
      </c>
      <c r="D400" s="197" t="str">
        <f ca="1">'unit calc'!A35</f>
        <v>recon squad_171</v>
      </c>
    </row>
    <row r="401" spans="1:4" x14ac:dyDescent="0.35">
      <c r="A401" t="s">
        <v>88</v>
      </c>
      <c r="B401" t="s">
        <v>13</v>
      </c>
      <c r="C401" s="64" t="s">
        <v>106</v>
      </c>
      <c r="D401" s="197" t="str">
        <f ca="1">'unit calc'!A129</f>
        <v>mortar squad_209</v>
      </c>
    </row>
    <row r="402" spans="1:4" x14ac:dyDescent="0.35">
      <c r="A402" t="s">
        <v>88</v>
      </c>
      <c r="B402" t="s">
        <v>13</v>
      </c>
      <c r="C402" s="64" t="s">
        <v>106</v>
      </c>
      <c r="D402" s="197" t="str">
        <f ca="1">'unit calc'!A130</f>
        <v>mortar x2 squad_261</v>
      </c>
    </row>
    <row r="403" spans="1:4" x14ac:dyDescent="0.35">
      <c r="A403" t="s">
        <v>88</v>
      </c>
      <c r="B403" t="s">
        <v>13</v>
      </c>
      <c r="C403" s="64" t="s">
        <v>106</v>
      </c>
      <c r="D403" s="197" t="str">
        <f ca="1">'unit calc'!A131</f>
        <v>MPAT squad_179</v>
      </c>
    </row>
    <row r="404" spans="1:4" x14ac:dyDescent="0.35">
      <c r="A404" t="s">
        <v>88</v>
      </c>
      <c r="B404" t="s">
        <v>13</v>
      </c>
      <c r="C404" s="64" t="s">
        <v>106</v>
      </c>
      <c r="D404" s="197" t="str">
        <f ca="1">'unit calc'!A132</f>
        <v>MPAT x2 squad_201</v>
      </c>
    </row>
    <row r="405" spans="1:4" x14ac:dyDescent="0.35">
      <c r="A405" t="s">
        <v>88</v>
      </c>
      <c r="B405" t="s">
        <v>13</v>
      </c>
      <c r="C405" s="64" t="s">
        <v>106</v>
      </c>
      <c r="D405" s="197" t="str">
        <f ca="1">'unit calc'!A133</f>
        <v>MMG squad_186</v>
      </c>
    </row>
    <row r="406" spans="1:4" x14ac:dyDescent="0.35">
      <c r="A406" t="s">
        <v>88</v>
      </c>
      <c r="B406" t="s">
        <v>13</v>
      </c>
      <c r="C406" s="64" t="s">
        <v>106</v>
      </c>
      <c r="D406" s="197" t="str">
        <f ca="1">'unit calc'!A134</f>
        <v>MMG x2 squad_215</v>
      </c>
    </row>
    <row r="407" spans="1:4" x14ac:dyDescent="0.35">
      <c r="A407" t="s">
        <v>88</v>
      </c>
      <c r="B407" t="s">
        <v>13</v>
      </c>
      <c r="C407" s="64" t="s">
        <v>106</v>
      </c>
      <c r="D407" s="197" t="str">
        <f ca="1">'unit calc'!A135</f>
        <v>MMG, HMG squad_222</v>
      </c>
    </row>
    <row r="408" spans="1:4" x14ac:dyDescent="0.35">
      <c r="A408" t="s">
        <v>88</v>
      </c>
      <c r="B408" t="s">
        <v>13</v>
      </c>
      <c r="C408" s="64" t="s">
        <v>106</v>
      </c>
      <c r="D408" s="197" t="str">
        <f ca="1">'unit calc'!A136</f>
        <v>HMG_193</v>
      </c>
    </row>
    <row r="409" spans="1:4" x14ac:dyDescent="0.35">
      <c r="A409" t="s">
        <v>88</v>
      </c>
      <c r="B409" t="s">
        <v>13</v>
      </c>
      <c r="C409" s="64" t="s">
        <v>106</v>
      </c>
      <c r="D409" s="197" t="str">
        <f ca="1">'unit calc'!A137</f>
        <v>HMG x2 squad_229</v>
      </c>
    </row>
    <row r="410" spans="1:4" x14ac:dyDescent="0.35">
      <c r="A410" t="s">
        <v>88</v>
      </c>
      <c r="B410" t="s">
        <v>13</v>
      </c>
      <c r="C410" s="64" t="s">
        <v>106</v>
      </c>
      <c r="D410" s="197" t="str">
        <f ca="1">'unit calc'!A138</f>
        <v>flame squad_196</v>
      </c>
    </row>
    <row r="411" spans="1:4" x14ac:dyDescent="0.35">
      <c r="A411" t="s">
        <v>88</v>
      </c>
      <c r="B411" t="s">
        <v>13</v>
      </c>
      <c r="C411" s="64" t="s">
        <v>106</v>
      </c>
      <c r="D411" s="197" t="str">
        <f ca="1">'unit calc'!A139</f>
        <v>FLAME x2 squad_235</v>
      </c>
    </row>
    <row r="412" spans="1:4" x14ac:dyDescent="0.35">
      <c r="A412" t="s">
        <v>88</v>
      </c>
      <c r="B412" t="s">
        <v>13</v>
      </c>
      <c r="C412" s="64" t="s">
        <v>106</v>
      </c>
      <c r="D412" s="197" t="str">
        <f ca="1">'unit calc'!A140</f>
        <v>marksman squad_184</v>
      </c>
    </row>
    <row r="413" spans="1:4" x14ac:dyDescent="0.35">
      <c r="A413" t="s">
        <v>88</v>
      </c>
      <c r="B413" t="s">
        <v>13</v>
      </c>
      <c r="C413" s="64" t="s">
        <v>106</v>
      </c>
      <c r="D413" s="197" t="str">
        <f ca="1">'unit calc'!A141</f>
        <v>marksman x2 squad_211</v>
      </c>
    </row>
    <row r="414" spans="1:4" x14ac:dyDescent="0.35">
      <c r="A414" t="s">
        <v>88</v>
      </c>
      <c r="B414" t="s">
        <v>13</v>
      </c>
      <c r="C414" s="64" t="str">
        <f>G5</f>
        <v>special_forces_1</v>
      </c>
      <c r="D414" s="197" t="str">
        <f ca="1">'unit calc'!A226</f>
        <v>experienced, _72</v>
      </c>
    </row>
    <row r="415" spans="1:4" x14ac:dyDescent="0.35">
      <c r="A415" t="s">
        <v>88</v>
      </c>
      <c r="B415" t="s">
        <v>13</v>
      </c>
      <c r="C415" s="64" t="s">
        <v>504</v>
      </c>
      <c r="D415" s="197" t="str">
        <f ca="1">'unit calc'!A40</f>
        <v>mmg team_75</v>
      </c>
    </row>
    <row r="416" spans="1:4" x14ac:dyDescent="0.35">
      <c r="A416" t="s">
        <v>88</v>
      </c>
      <c r="B416" t="s">
        <v>13</v>
      </c>
      <c r="C416" s="64" t="s">
        <v>504</v>
      </c>
      <c r="D416" s="197" t="str">
        <f ca="1">'unit calc'!A41</f>
        <v>hmg team_82</v>
      </c>
    </row>
    <row r="417" spans="1:4" x14ac:dyDescent="0.35">
      <c r="A417" t="s">
        <v>88</v>
      </c>
      <c r="B417" t="s">
        <v>13</v>
      </c>
      <c r="C417" s="64" t="s">
        <v>504</v>
      </c>
      <c r="D417" s="197" t="str">
        <f ca="1">'unit calc'!A42</f>
        <v>sniper_60</v>
      </c>
    </row>
    <row r="418" spans="1:4" x14ac:dyDescent="0.35">
      <c r="A418" t="s">
        <v>88</v>
      </c>
      <c r="B418" t="s">
        <v>13</v>
      </c>
      <c r="C418" s="64" t="s">
        <v>504</v>
      </c>
      <c r="D418" s="197" t="str">
        <f ca="1">'unit calc'!A43</f>
        <v>mpat team_68</v>
      </c>
    </row>
    <row r="419" spans="1:4" x14ac:dyDescent="0.35">
      <c r="A419" t="s">
        <v>88</v>
      </c>
      <c r="B419" t="s">
        <v>13</v>
      </c>
      <c r="C419" s="64" t="s">
        <v>504</v>
      </c>
      <c r="D419" s="197" t="str">
        <f ca="1">'unit calc'!A44</f>
        <v>flame thrower team_85</v>
      </c>
    </row>
    <row r="420" spans="1:4" x14ac:dyDescent="0.35">
      <c r="A420" t="s">
        <v>88</v>
      </c>
      <c r="B420" t="s">
        <v>13</v>
      </c>
      <c r="C420" s="64" t="s">
        <v>504</v>
      </c>
      <c r="D420" s="197" t="str">
        <f ca="1">'unit calc'!A45</f>
        <v>mortar team_98</v>
      </c>
    </row>
    <row r="421" spans="1:4" x14ac:dyDescent="0.35">
      <c r="A421" t="s">
        <v>88</v>
      </c>
      <c r="B421" t="s">
        <v>13</v>
      </c>
      <c r="C421" t="str">
        <f>I3</f>
        <v>feild_gun</v>
      </c>
      <c r="D421" s="197" t="str">
        <f ca="1">'unit calc'!A175</f>
        <v>20mm Oerlikon_48</v>
      </c>
    </row>
    <row r="422" spans="1:4" x14ac:dyDescent="0.35">
      <c r="A422" t="s">
        <v>88</v>
      </c>
      <c r="B422" t="s">
        <v>13</v>
      </c>
      <c r="C422" t="str">
        <f>I3</f>
        <v>feild_gun</v>
      </c>
      <c r="D422" s="197" t="str">
        <f ca="1">'unit calc'!A176</f>
        <v>QF 2-pounder_42</v>
      </c>
    </row>
    <row r="423" spans="1:4" x14ac:dyDescent="0.35">
      <c r="A423" t="s">
        <v>88</v>
      </c>
      <c r="B423" t="s">
        <v>13</v>
      </c>
      <c r="C423" t="str">
        <f>I3</f>
        <v>feild_gun</v>
      </c>
      <c r="D423" s="197" t="str">
        <f ca="1">'unit calc'!A177</f>
        <v>QF 6 pounder_68</v>
      </c>
    </row>
    <row r="424" spans="1:4" x14ac:dyDescent="0.35">
      <c r="A424" t="s">
        <v>88</v>
      </c>
      <c r="B424" t="s">
        <v>13</v>
      </c>
      <c r="C424" t="str">
        <f>I3</f>
        <v>feild_gun</v>
      </c>
      <c r="D424" s="197" t="str">
        <f ca="1">'unit calc'!A178</f>
        <v>QF 17 pounder_144</v>
      </c>
    </row>
    <row r="425" spans="1:4" x14ac:dyDescent="0.35">
      <c r="A425" t="s">
        <v>88</v>
      </c>
      <c r="B425" t="s">
        <v>13</v>
      </c>
      <c r="C425" s="13" t="s">
        <v>365</v>
      </c>
      <c r="D425" s="197" t="str">
        <f ca="1">'unit calc'!A205</f>
        <v>20mm Oerlikon_152</v>
      </c>
    </row>
    <row r="426" spans="1:4" x14ac:dyDescent="0.35">
      <c r="A426" t="s">
        <v>88</v>
      </c>
      <c r="B426" t="s">
        <v>13</v>
      </c>
      <c r="C426" s="13" t="s">
        <v>365</v>
      </c>
      <c r="D426" s="197" t="str">
        <f ca="1">'unit calc'!A206</f>
        <v>QF 2-pounder_146</v>
      </c>
    </row>
    <row r="427" spans="1:4" x14ac:dyDescent="0.35">
      <c r="A427" t="s">
        <v>88</v>
      </c>
      <c r="B427" t="s">
        <v>13</v>
      </c>
      <c r="C427" s="13" t="s">
        <v>365</v>
      </c>
      <c r="D427" s="197" t="str">
        <f ca="1">'unit calc'!A207</f>
        <v>QF 6 pounder_185</v>
      </c>
    </row>
    <row r="428" spans="1:4" x14ac:dyDescent="0.35">
      <c r="A428" t="s">
        <v>88</v>
      </c>
      <c r="B428" t="s">
        <v>13</v>
      </c>
      <c r="C428" s="13" t="s">
        <v>365</v>
      </c>
      <c r="D428" s="197" t="str">
        <f ca="1">'unit calc'!A208</f>
        <v>QF 17 pounder_261</v>
      </c>
    </row>
    <row r="429" spans="1:4" x14ac:dyDescent="0.35">
      <c r="A429" t="s">
        <v>88</v>
      </c>
      <c r="B429" t="s">
        <v>13</v>
      </c>
      <c r="C429" s="13" t="s">
        <v>50</v>
      </c>
      <c r="D429" s="197" t="str">
        <f ca="1">'unit calc'!A57</f>
        <v>jeep_16</v>
      </c>
    </row>
    <row r="430" spans="1:4" x14ac:dyDescent="0.35">
      <c r="A430" t="s">
        <v>88</v>
      </c>
      <c r="B430" t="s">
        <v>13</v>
      </c>
      <c r="C430" s="13" t="s">
        <v>50</v>
      </c>
      <c r="D430" s="197" t="str">
        <f ca="1">'unit calc'!A58</f>
        <v>truck_34</v>
      </c>
    </row>
    <row r="431" spans="1:4" x14ac:dyDescent="0.35">
      <c r="A431" t="s">
        <v>88</v>
      </c>
      <c r="B431" t="s">
        <v>13</v>
      </c>
      <c r="C431" s="13" t="s">
        <v>50</v>
      </c>
      <c r="D431" s="197" t="str">
        <f ca="1">'unit calc'!A59</f>
        <v>bren gun carrier_70</v>
      </c>
    </row>
    <row r="432" spans="1:4" x14ac:dyDescent="0.35">
      <c r="A432" t="s">
        <v>88</v>
      </c>
      <c r="B432" t="s">
        <v>13</v>
      </c>
      <c r="C432" s="13" t="s">
        <v>50</v>
      </c>
      <c r="D432" s="197" t="str">
        <f ca="1">'unit calc'!A60</f>
        <v>armoured car_95</v>
      </c>
    </row>
    <row r="433" spans="1:4" x14ac:dyDescent="0.35">
      <c r="A433" t="s">
        <v>88</v>
      </c>
      <c r="B433" t="s">
        <v>13</v>
      </c>
      <c r="C433" s="13" t="s">
        <v>50</v>
      </c>
      <c r="D433" s="197" t="str">
        <f ca="1">'unit calc'!A61</f>
        <v>half track_89</v>
      </c>
    </row>
    <row r="434" spans="1:4" x14ac:dyDescent="0.35">
      <c r="A434" t="s">
        <v>88</v>
      </c>
      <c r="B434" t="s">
        <v>13</v>
      </c>
      <c r="C434" s="13" t="s">
        <v>50</v>
      </c>
      <c r="D434" s="197" t="str">
        <f ca="1">'unit calc'!A67</f>
        <v>Valentine_270</v>
      </c>
    </row>
    <row r="435" spans="1:4" x14ac:dyDescent="0.35">
      <c r="A435" t="s">
        <v>88</v>
      </c>
      <c r="B435" t="s">
        <v>13</v>
      </c>
      <c r="C435" s="13" t="s">
        <v>50</v>
      </c>
      <c r="D435" s="197" t="str">
        <f ca="1">'unit calc'!A68</f>
        <v>Valentine MK.IX_285</v>
      </c>
    </row>
    <row r="436" spans="1:4" x14ac:dyDescent="0.35">
      <c r="A436" t="s">
        <v>88</v>
      </c>
      <c r="B436" t="s">
        <v>13</v>
      </c>
      <c r="C436" s="13" t="s">
        <v>50</v>
      </c>
      <c r="D436" s="197" t="str">
        <f ca="1">'unit calc'!A75</f>
        <v>Humber AC_150</v>
      </c>
    </row>
    <row r="437" spans="1:4" x14ac:dyDescent="0.35">
      <c r="A437" t="s">
        <v>88</v>
      </c>
      <c r="B437" t="s">
        <v>13</v>
      </c>
      <c r="C437" s="13" t="s">
        <v>50</v>
      </c>
      <c r="D437" s="197" t="str">
        <f ca="1">'unit calc'!A76</f>
        <v>T17 Staghound MK.III_160</v>
      </c>
    </row>
    <row r="438" spans="1:4" x14ac:dyDescent="0.35">
      <c r="A438" t="s">
        <v>88</v>
      </c>
      <c r="B438" t="s">
        <v>13</v>
      </c>
      <c r="C438" s="13" t="s">
        <v>50</v>
      </c>
      <c r="D438" s="197" t="str">
        <f ca="1">'unit calc'!A79</f>
        <v>M3 Stuart_210</v>
      </c>
    </row>
    <row r="439" spans="1:4" x14ac:dyDescent="0.35">
      <c r="A439" t="s">
        <v>88</v>
      </c>
      <c r="B439" t="s">
        <v>13</v>
      </c>
      <c r="C439" s="13" t="s">
        <v>374</v>
      </c>
      <c r="D439" s="197" t="str">
        <f ca="1">'unit calc'!A67</f>
        <v>Valentine_270</v>
      </c>
    </row>
    <row r="440" spans="1:4" x14ac:dyDescent="0.35">
      <c r="A440" t="s">
        <v>88</v>
      </c>
      <c r="B440" t="s">
        <v>13</v>
      </c>
      <c r="C440" s="13" t="s">
        <v>374</v>
      </c>
      <c r="D440" s="197" t="str">
        <f ca="1">'unit calc'!A68</f>
        <v>Valentine MK.IX_285</v>
      </c>
    </row>
    <row r="441" spans="1:4" x14ac:dyDescent="0.35">
      <c r="A441" t="s">
        <v>88</v>
      </c>
      <c r="B441" t="s">
        <v>13</v>
      </c>
      <c r="C441" s="13" t="s">
        <v>374</v>
      </c>
      <c r="D441" s="197" t="str">
        <f ca="1">'unit calc'!A75</f>
        <v>Humber AC_150</v>
      </c>
    </row>
    <row r="442" spans="1:4" x14ac:dyDescent="0.35">
      <c r="A442" t="s">
        <v>88</v>
      </c>
      <c r="B442" t="s">
        <v>13</v>
      </c>
      <c r="C442" s="13" t="s">
        <v>374</v>
      </c>
      <c r="D442" s="197" t="str">
        <f ca="1">'unit calc'!A76</f>
        <v>T17 Staghound MK.III_160</v>
      </c>
    </row>
    <row r="443" spans="1:4" x14ac:dyDescent="0.35">
      <c r="A443" t="s">
        <v>88</v>
      </c>
      <c r="B443" t="s">
        <v>13</v>
      </c>
      <c r="C443" s="13" t="s">
        <v>374</v>
      </c>
      <c r="D443" s="197" t="str">
        <f ca="1">'unit calc'!A79</f>
        <v>M3 Stuart_210</v>
      </c>
    </row>
    <row r="444" spans="1:4" x14ac:dyDescent="0.35">
      <c r="A444" t="s">
        <v>88</v>
      </c>
      <c r="B444" t="s">
        <v>373</v>
      </c>
      <c r="C444" s="64" t="s">
        <v>368</v>
      </c>
      <c r="D444" s="197" t="str">
        <f ca="1">'unit calc'!A32</f>
        <v>rifle squad_250</v>
      </c>
    </row>
    <row r="445" spans="1:4" x14ac:dyDescent="0.35">
      <c r="A445" t="s">
        <v>88</v>
      </c>
      <c r="B445" t="s">
        <v>373</v>
      </c>
      <c r="C445" s="64" t="s">
        <v>368</v>
      </c>
      <c r="D445" s="197" t="str">
        <f ca="1">'unit calc'!A33</f>
        <v>assault squad_205</v>
      </c>
    </row>
    <row r="446" spans="1:4" x14ac:dyDescent="0.35">
      <c r="A446" t="s">
        <v>88</v>
      </c>
      <c r="B446" t="s">
        <v>373</v>
      </c>
      <c r="C446" s="64" t="s">
        <v>368</v>
      </c>
      <c r="D446" s="197" t="str">
        <f ca="1">'unit calc'!A34</f>
        <v>gun squad_243</v>
      </c>
    </row>
    <row r="447" spans="1:4" x14ac:dyDescent="0.35">
      <c r="A447" t="s">
        <v>88</v>
      </c>
      <c r="B447" t="s">
        <v>373</v>
      </c>
      <c r="C447" s="64" t="s">
        <v>368</v>
      </c>
      <c r="D447" s="197" t="str">
        <f ca="1">'unit calc'!A35</f>
        <v>recon squad_171</v>
      </c>
    </row>
    <row r="448" spans="1:4" x14ac:dyDescent="0.35">
      <c r="A448" t="s">
        <v>88</v>
      </c>
      <c r="B448" t="s">
        <v>373</v>
      </c>
      <c r="C448" s="64" t="s">
        <v>106</v>
      </c>
      <c r="D448" s="197" t="str">
        <f ca="1">'unit calc'!A129</f>
        <v>mortar squad_209</v>
      </c>
    </row>
    <row r="449" spans="1:4" x14ac:dyDescent="0.35">
      <c r="A449" t="s">
        <v>88</v>
      </c>
      <c r="B449" t="s">
        <v>373</v>
      </c>
      <c r="C449" s="64" t="s">
        <v>106</v>
      </c>
      <c r="D449" s="197" t="str">
        <f ca="1">'unit calc'!A130</f>
        <v>mortar x2 squad_261</v>
      </c>
    </row>
    <row r="450" spans="1:4" x14ac:dyDescent="0.35">
      <c r="A450" t="s">
        <v>88</v>
      </c>
      <c r="B450" t="s">
        <v>373</v>
      </c>
      <c r="C450" s="64" t="s">
        <v>106</v>
      </c>
      <c r="D450" s="197" t="str">
        <f ca="1">'unit calc'!A131</f>
        <v>MPAT squad_179</v>
      </c>
    </row>
    <row r="451" spans="1:4" x14ac:dyDescent="0.35">
      <c r="A451" t="s">
        <v>88</v>
      </c>
      <c r="B451" t="s">
        <v>373</v>
      </c>
      <c r="C451" s="64" t="s">
        <v>106</v>
      </c>
      <c r="D451" s="197" t="str">
        <f ca="1">'unit calc'!A132</f>
        <v>MPAT x2 squad_201</v>
      </c>
    </row>
    <row r="452" spans="1:4" x14ac:dyDescent="0.35">
      <c r="A452" t="s">
        <v>88</v>
      </c>
      <c r="B452" t="s">
        <v>373</v>
      </c>
      <c r="C452" s="64" t="s">
        <v>106</v>
      </c>
      <c r="D452" s="197" t="str">
        <f ca="1">'unit calc'!A133</f>
        <v>MMG squad_186</v>
      </c>
    </row>
    <row r="453" spans="1:4" x14ac:dyDescent="0.35">
      <c r="A453" t="s">
        <v>88</v>
      </c>
      <c r="B453" t="s">
        <v>373</v>
      </c>
      <c r="C453" s="64" t="s">
        <v>106</v>
      </c>
      <c r="D453" s="197" t="str">
        <f ca="1">'unit calc'!A134</f>
        <v>MMG x2 squad_215</v>
      </c>
    </row>
    <row r="454" spans="1:4" x14ac:dyDescent="0.35">
      <c r="A454" t="s">
        <v>88</v>
      </c>
      <c r="B454" t="s">
        <v>373</v>
      </c>
      <c r="C454" s="64" t="s">
        <v>106</v>
      </c>
      <c r="D454" s="197" t="str">
        <f ca="1">'unit calc'!A135</f>
        <v>MMG, HMG squad_222</v>
      </c>
    </row>
    <row r="455" spans="1:4" x14ac:dyDescent="0.35">
      <c r="A455" t="s">
        <v>88</v>
      </c>
      <c r="B455" t="s">
        <v>373</v>
      </c>
      <c r="C455" s="64" t="s">
        <v>106</v>
      </c>
      <c r="D455" s="197" t="str">
        <f ca="1">'unit calc'!A136</f>
        <v>HMG_193</v>
      </c>
    </row>
    <row r="456" spans="1:4" x14ac:dyDescent="0.35">
      <c r="A456" t="s">
        <v>88</v>
      </c>
      <c r="B456" t="s">
        <v>373</v>
      </c>
      <c r="C456" s="64" t="s">
        <v>106</v>
      </c>
      <c r="D456" s="197" t="str">
        <f ca="1">'unit calc'!A137</f>
        <v>HMG x2 squad_229</v>
      </c>
    </row>
    <row r="457" spans="1:4" x14ac:dyDescent="0.35">
      <c r="A457" t="s">
        <v>88</v>
      </c>
      <c r="B457" t="s">
        <v>373</v>
      </c>
      <c r="C457" s="64" t="s">
        <v>106</v>
      </c>
      <c r="D457" s="197" t="str">
        <f ca="1">'unit calc'!A138</f>
        <v>flame squad_196</v>
      </c>
    </row>
    <row r="458" spans="1:4" x14ac:dyDescent="0.35">
      <c r="A458" t="s">
        <v>88</v>
      </c>
      <c r="B458" t="s">
        <v>373</v>
      </c>
      <c r="C458" s="64" t="s">
        <v>106</v>
      </c>
      <c r="D458" s="197" t="str">
        <f ca="1">'unit calc'!A139</f>
        <v>FLAME x2 squad_235</v>
      </c>
    </row>
    <row r="459" spans="1:4" x14ac:dyDescent="0.35">
      <c r="A459" t="s">
        <v>88</v>
      </c>
      <c r="B459" t="s">
        <v>373</v>
      </c>
      <c r="C459" s="64" t="s">
        <v>106</v>
      </c>
      <c r="D459" s="197" t="str">
        <f ca="1">'unit calc'!A140</f>
        <v>marksman squad_184</v>
      </c>
    </row>
    <row r="460" spans="1:4" x14ac:dyDescent="0.35">
      <c r="A460" t="s">
        <v>88</v>
      </c>
      <c r="B460" t="s">
        <v>373</v>
      </c>
      <c r="C460" s="64" t="s">
        <v>106</v>
      </c>
      <c r="D460" s="197" t="str">
        <f ca="1">'unit calc'!A141</f>
        <v>marksman x2 squad_211</v>
      </c>
    </row>
    <row r="461" spans="1:4" x14ac:dyDescent="0.35">
      <c r="A461" t="s">
        <v>88</v>
      </c>
      <c r="B461" t="s">
        <v>373</v>
      </c>
      <c r="C461" s="64" t="str">
        <f>G5</f>
        <v>special_forces_1</v>
      </c>
      <c r="D461" s="197" t="str">
        <f ca="1">'unit calc'!A226</f>
        <v>experienced, _72</v>
      </c>
    </row>
    <row r="462" spans="1:4" x14ac:dyDescent="0.35">
      <c r="A462" t="s">
        <v>88</v>
      </c>
      <c r="B462" t="s">
        <v>373</v>
      </c>
      <c r="C462" s="64" t="str">
        <f t="shared" ref="C462:C463" si="4">G6</f>
        <v>special_forces_2</v>
      </c>
      <c r="D462" s="197" t="str">
        <f ca="1">'unit calc'!A227</f>
        <v>experienced, _72</v>
      </c>
    </row>
    <row r="463" spans="1:4" x14ac:dyDescent="0.35">
      <c r="A463" t="s">
        <v>88</v>
      </c>
      <c r="B463" t="s">
        <v>373</v>
      </c>
      <c r="C463" s="64" t="str">
        <f t="shared" si="4"/>
        <v>special_forces_3</v>
      </c>
      <c r="D463" s="197" t="str">
        <f ca="1">'unit calc'!A228</f>
        <v>conscript, _59</v>
      </c>
    </row>
    <row r="464" spans="1:4" x14ac:dyDescent="0.35">
      <c r="A464" t="s">
        <v>88</v>
      </c>
      <c r="B464" t="s">
        <v>373</v>
      </c>
      <c r="C464" s="64" t="s">
        <v>504</v>
      </c>
      <c r="D464" s="197" t="str">
        <f ca="1">'unit calc'!A40</f>
        <v>mmg team_75</v>
      </c>
    </row>
    <row r="465" spans="1:4" x14ac:dyDescent="0.35">
      <c r="A465" t="s">
        <v>88</v>
      </c>
      <c r="B465" t="s">
        <v>373</v>
      </c>
      <c r="C465" s="64" t="s">
        <v>504</v>
      </c>
      <c r="D465" s="197" t="str">
        <f ca="1">'unit calc'!A41</f>
        <v>hmg team_82</v>
      </c>
    </row>
    <row r="466" spans="1:4" x14ac:dyDescent="0.35">
      <c r="A466" t="s">
        <v>88</v>
      </c>
      <c r="B466" t="s">
        <v>373</v>
      </c>
      <c r="C466" s="64" t="s">
        <v>504</v>
      </c>
      <c r="D466" s="197" t="str">
        <f ca="1">'unit calc'!A42</f>
        <v>sniper_60</v>
      </c>
    </row>
    <row r="467" spans="1:4" x14ac:dyDescent="0.35">
      <c r="A467" t="s">
        <v>88</v>
      </c>
      <c r="B467" t="s">
        <v>373</v>
      </c>
      <c r="C467" s="64" t="s">
        <v>504</v>
      </c>
      <c r="D467" s="197" t="str">
        <f ca="1">'unit calc'!A43</f>
        <v>mpat team_68</v>
      </c>
    </row>
    <row r="468" spans="1:4" x14ac:dyDescent="0.35">
      <c r="A468" t="s">
        <v>88</v>
      </c>
      <c r="B468" t="s">
        <v>373</v>
      </c>
      <c r="C468" s="64" t="s">
        <v>504</v>
      </c>
      <c r="D468" s="197" t="str">
        <f ca="1">'unit calc'!A44</f>
        <v>flame thrower team_85</v>
      </c>
    </row>
    <row r="469" spans="1:4" x14ac:dyDescent="0.35">
      <c r="A469" t="s">
        <v>88</v>
      </c>
      <c r="B469" t="s">
        <v>373</v>
      </c>
      <c r="C469" s="64" t="s">
        <v>504</v>
      </c>
      <c r="D469" s="197" t="str">
        <f ca="1">'unit calc'!A45</f>
        <v>mortar team_98</v>
      </c>
    </row>
    <row r="470" spans="1:4" x14ac:dyDescent="0.35">
      <c r="A470" t="s">
        <v>88</v>
      </c>
      <c r="B470" t="s">
        <v>98</v>
      </c>
      <c r="C470" s="64" t="s">
        <v>368</v>
      </c>
      <c r="D470" s="197" t="str">
        <f ca="1">'unit calc'!A32</f>
        <v>rifle squad_250</v>
      </c>
    </row>
    <row r="471" spans="1:4" x14ac:dyDescent="0.35">
      <c r="A471" t="s">
        <v>88</v>
      </c>
      <c r="B471" t="s">
        <v>98</v>
      </c>
      <c r="C471" s="64" t="s">
        <v>368</v>
      </c>
      <c r="D471" s="197" t="str">
        <f ca="1">'unit calc'!A33</f>
        <v>assault squad_205</v>
      </c>
    </row>
    <row r="472" spans="1:4" x14ac:dyDescent="0.35">
      <c r="A472" t="s">
        <v>88</v>
      </c>
      <c r="B472" t="s">
        <v>98</v>
      </c>
      <c r="C472" s="64" t="s">
        <v>368</v>
      </c>
      <c r="D472" s="197" t="str">
        <f ca="1">'unit calc'!A34</f>
        <v>gun squad_243</v>
      </c>
    </row>
    <row r="473" spans="1:4" x14ac:dyDescent="0.35">
      <c r="A473" t="s">
        <v>88</v>
      </c>
      <c r="B473" t="s">
        <v>98</v>
      </c>
      <c r="C473" s="64" t="s">
        <v>368</v>
      </c>
      <c r="D473" s="197" t="str">
        <f ca="1">'unit calc'!A35</f>
        <v>recon squad_171</v>
      </c>
    </row>
    <row r="474" spans="1:4" x14ac:dyDescent="0.35">
      <c r="A474" t="s">
        <v>88</v>
      </c>
      <c r="B474" t="s">
        <v>98</v>
      </c>
      <c r="C474" s="64" t="s">
        <v>106</v>
      </c>
      <c r="D474" s="197" t="str">
        <f ca="1">'unit calc'!A129</f>
        <v>mortar squad_209</v>
      </c>
    </row>
    <row r="475" spans="1:4" x14ac:dyDescent="0.35">
      <c r="A475" t="s">
        <v>88</v>
      </c>
      <c r="B475" t="s">
        <v>98</v>
      </c>
      <c r="C475" s="64" t="s">
        <v>106</v>
      </c>
      <c r="D475" s="197" t="str">
        <f ca="1">'unit calc'!A130</f>
        <v>mortar x2 squad_261</v>
      </c>
    </row>
    <row r="476" spans="1:4" x14ac:dyDescent="0.35">
      <c r="A476" t="s">
        <v>88</v>
      </c>
      <c r="B476" t="s">
        <v>98</v>
      </c>
      <c r="C476" s="64" t="s">
        <v>106</v>
      </c>
      <c r="D476" s="197" t="str">
        <f ca="1">'unit calc'!A131</f>
        <v>MPAT squad_179</v>
      </c>
    </row>
    <row r="477" spans="1:4" x14ac:dyDescent="0.35">
      <c r="A477" t="s">
        <v>88</v>
      </c>
      <c r="B477" t="s">
        <v>98</v>
      </c>
      <c r="C477" s="64" t="s">
        <v>106</v>
      </c>
      <c r="D477" s="197" t="str">
        <f ca="1">'unit calc'!A132</f>
        <v>MPAT x2 squad_201</v>
      </c>
    </row>
    <row r="478" spans="1:4" x14ac:dyDescent="0.35">
      <c r="A478" t="s">
        <v>88</v>
      </c>
      <c r="B478" t="s">
        <v>98</v>
      </c>
      <c r="C478" s="64" t="s">
        <v>106</v>
      </c>
      <c r="D478" s="197" t="str">
        <f ca="1">'unit calc'!A133</f>
        <v>MMG squad_186</v>
      </c>
    </row>
    <row r="479" spans="1:4" x14ac:dyDescent="0.35">
      <c r="A479" t="s">
        <v>88</v>
      </c>
      <c r="B479" t="s">
        <v>98</v>
      </c>
      <c r="C479" s="64" t="s">
        <v>106</v>
      </c>
      <c r="D479" s="197" t="str">
        <f ca="1">'unit calc'!A134</f>
        <v>MMG x2 squad_215</v>
      </c>
    </row>
    <row r="480" spans="1:4" x14ac:dyDescent="0.35">
      <c r="A480" t="s">
        <v>88</v>
      </c>
      <c r="B480" t="s">
        <v>98</v>
      </c>
      <c r="C480" s="64" t="s">
        <v>106</v>
      </c>
      <c r="D480" s="197" t="str">
        <f ca="1">'unit calc'!A135</f>
        <v>MMG, HMG squad_222</v>
      </c>
    </row>
    <row r="481" spans="1:4" x14ac:dyDescent="0.35">
      <c r="A481" t="s">
        <v>88</v>
      </c>
      <c r="B481" t="s">
        <v>98</v>
      </c>
      <c r="C481" s="64" t="s">
        <v>106</v>
      </c>
      <c r="D481" s="197" t="str">
        <f ca="1">'unit calc'!A136</f>
        <v>HMG_193</v>
      </c>
    </row>
    <row r="482" spans="1:4" x14ac:dyDescent="0.35">
      <c r="A482" t="s">
        <v>88</v>
      </c>
      <c r="B482" t="s">
        <v>98</v>
      </c>
      <c r="C482" s="64" t="s">
        <v>106</v>
      </c>
      <c r="D482" s="197" t="str">
        <f ca="1">'unit calc'!A137</f>
        <v>HMG x2 squad_229</v>
      </c>
    </row>
    <row r="483" spans="1:4" x14ac:dyDescent="0.35">
      <c r="A483" t="s">
        <v>88</v>
      </c>
      <c r="B483" t="s">
        <v>98</v>
      </c>
      <c r="C483" s="64" t="s">
        <v>106</v>
      </c>
      <c r="D483" s="197" t="str">
        <f ca="1">'unit calc'!A138</f>
        <v>flame squad_196</v>
      </c>
    </row>
    <row r="484" spans="1:4" x14ac:dyDescent="0.35">
      <c r="A484" t="s">
        <v>88</v>
      </c>
      <c r="B484" t="s">
        <v>98</v>
      </c>
      <c r="C484" s="64" t="s">
        <v>106</v>
      </c>
      <c r="D484" s="197" t="str">
        <f ca="1">'unit calc'!A139</f>
        <v>FLAME x2 squad_235</v>
      </c>
    </row>
    <row r="485" spans="1:4" x14ac:dyDescent="0.35">
      <c r="A485" t="s">
        <v>88</v>
      </c>
      <c r="B485" t="s">
        <v>98</v>
      </c>
      <c r="C485" s="64" t="s">
        <v>106</v>
      </c>
      <c r="D485" s="197" t="str">
        <f ca="1">'unit calc'!A140</f>
        <v>marksman squad_184</v>
      </c>
    </row>
    <row r="486" spans="1:4" x14ac:dyDescent="0.35">
      <c r="A486" t="s">
        <v>88</v>
      </c>
      <c r="B486" t="s">
        <v>98</v>
      </c>
      <c r="C486" s="64" t="s">
        <v>106</v>
      </c>
      <c r="D486" s="197" t="str">
        <f ca="1">'unit calc'!A141</f>
        <v>marksman x2 squad_211</v>
      </c>
    </row>
    <row r="487" spans="1:4" x14ac:dyDescent="0.35">
      <c r="A487" t="s">
        <v>88</v>
      </c>
      <c r="B487" t="s">
        <v>98</v>
      </c>
      <c r="C487" s="64" t="str">
        <f>G5</f>
        <v>special_forces_1</v>
      </c>
      <c r="D487" s="197" t="str">
        <f ca="1">'unit calc'!A226</f>
        <v>experienced, _72</v>
      </c>
    </row>
    <row r="488" spans="1:4" x14ac:dyDescent="0.35">
      <c r="A488" t="s">
        <v>88</v>
      </c>
      <c r="B488" t="s">
        <v>98</v>
      </c>
      <c r="C488" s="64" t="str">
        <f t="shared" ref="C488:C489" si="5">G6</f>
        <v>special_forces_2</v>
      </c>
      <c r="D488" s="197" t="str">
        <f ca="1">'unit calc'!A227</f>
        <v>experienced, _72</v>
      </c>
    </row>
    <row r="489" spans="1:4" x14ac:dyDescent="0.35">
      <c r="A489" t="s">
        <v>88</v>
      </c>
      <c r="B489" t="s">
        <v>98</v>
      </c>
      <c r="C489" s="64" t="str">
        <f t="shared" si="5"/>
        <v>special_forces_3</v>
      </c>
      <c r="D489" s="197" t="str">
        <f ca="1">'unit calc'!A228</f>
        <v>conscript, _59</v>
      </c>
    </row>
    <row r="490" spans="1:4" x14ac:dyDescent="0.35">
      <c r="A490" t="s">
        <v>88</v>
      </c>
      <c r="B490" t="s">
        <v>98</v>
      </c>
      <c r="C490" s="64" t="s">
        <v>504</v>
      </c>
      <c r="D490" s="197" t="str">
        <f ca="1">'unit calc'!A40</f>
        <v>mmg team_75</v>
      </c>
    </row>
    <row r="491" spans="1:4" x14ac:dyDescent="0.35">
      <c r="A491" t="s">
        <v>88</v>
      </c>
      <c r="B491" t="s">
        <v>98</v>
      </c>
      <c r="C491" s="64" t="s">
        <v>504</v>
      </c>
      <c r="D491" s="197" t="str">
        <f ca="1">'unit calc'!A41</f>
        <v>hmg team_82</v>
      </c>
    </row>
    <row r="492" spans="1:4" x14ac:dyDescent="0.35">
      <c r="A492" t="s">
        <v>88</v>
      </c>
      <c r="B492" t="s">
        <v>98</v>
      </c>
      <c r="C492" s="64" t="s">
        <v>504</v>
      </c>
      <c r="D492" s="197" t="str">
        <f ca="1">'unit calc'!A42</f>
        <v>sniper_60</v>
      </c>
    </row>
    <row r="493" spans="1:4" x14ac:dyDescent="0.35">
      <c r="A493" t="s">
        <v>88</v>
      </c>
      <c r="B493" t="s">
        <v>98</v>
      </c>
      <c r="C493" s="64" t="s">
        <v>504</v>
      </c>
      <c r="D493" s="197" t="str">
        <f ca="1">'unit calc'!A43</f>
        <v>mpat team_68</v>
      </c>
    </row>
    <row r="494" spans="1:4" x14ac:dyDescent="0.35">
      <c r="A494" t="s">
        <v>88</v>
      </c>
      <c r="B494" t="s">
        <v>98</v>
      </c>
      <c r="C494" s="64" t="s">
        <v>504</v>
      </c>
      <c r="D494" s="197" t="str">
        <f ca="1">'unit calc'!A44</f>
        <v>flame thrower team_85</v>
      </c>
    </row>
    <row r="495" spans="1:4" x14ac:dyDescent="0.35">
      <c r="A495" t="s">
        <v>88</v>
      </c>
      <c r="B495" t="s">
        <v>98</v>
      </c>
      <c r="C495" s="64" t="s">
        <v>504</v>
      </c>
      <c r="D495" s="197" t="str">
        <f ca="1">'unit calc'!A45</f>
        <v>mortar team_98</v>
      </c>
    </row>
    <row r="496" spans="1:4" x14ac:dyDescent="0.35">
      <c r="A496" t="s">
        <v>88</v>
      </c>
      <c r="B496" t="s">
        <v>98</v>
      </c>
      <c r="C496" t="str">
        <f>I3</f>
        <v>feild_gun</v>
      </c>
      <c r="D496" s="197" t="str">
        <f ca="1">'unit calc'!A175</f>
        <v>20mm Oerlikon_48</v>
      </c>
    </row>
    <row r="497" spans="1:4" x14ac:dyDescent="0.35">
      <c r="A497" t="s">
        <v>88</v>
      </c>
      <c r="B497" t="s">
        <v>98</v>
      </c>
      <c r="C497" t="str">
        <f>I3</f>
        <v>feild_gun</v>
      </c>
      <c r="D497" s="197" t="str">
        <f ca="1">'unit calc'!A176</f>
        <v>QF 2-pounder_42</v>
      </c>
    </row>
    <row r="498" spans="1:4" x14ac:dyDescent="0.35">
      <c r="A498" t="s">
        <v>88</v>
      </c>
      <c r="B498" t="s">
        <v>98</v>
      </c>
      <c r="C498" t="str">
        <f>I3</f>
        <v>feild_gun</v>
      </c>
      <c r="D498" s="197" t="str">
        <f ca="1">'unit calc'!A177</f>
        <v>QF 6 pounder_68</v>
      </c>
    </row>
    <row r="499" spans="1:4" x14ac:dyDescent="0.35">
      <c r="A499" t="s">
        <v>88</v>
      </c>
      <c r="B499" t="s">
        <v>98</v>
      </c>
      <c r="C499" t="str">
        <f>I3</f>
        <v>feild_gun</v>
      </c>
      <c r="D499" s="197" t="str">
        <f ca="1">'unit calc'!A178</f>
        <v>QF 17 pounder_144</v>
      </c>
    </row>
    <row r="500" spans="1:4" x14ac:dyDescent="0.35">
      <c r="A500" t="s">
        <v>88</v>
      </c>
      <c r="B500" t="s">
        <v>98</v>
      </c>
      <c r="C500" s="13" t="s">
        <v>365</v>
      </c>
      <c r="D500" s="197" t="str">
        <f ca="1">'unit calc'!A205</f>
        <v>20mm Oerlikon_152</v>
      </c>
    </row>
    <row r="501" spans="1:4" x14ac:dyDescent="0.35">
      <c r="A501" t="s">
        <v>88</v>
      </c>
      <c r="B501" t="s">
        <v>98</v>
      </c>
      <c r="C501" s="13" t="s">
        <v>365</v>
      </c>
      <c r="D501" s="197" t="str">
        <f ca="1">'unit calc'!A206</f>
        <v>QF 2-pounder_146</v>
      </c>
    </row>
    <row r="502" spans="1:4" x14ac:dyDescent="0.35">
      <c r="A502" t="s">
        <v>88</v>
      </c>
      <c r="B502" t="s">
        <v>98</v>
      </c>
      <c r="C502" s="13" t="s">
        <v>365</v>
      </c>
      <c r="D502" s="197" t="str">
        <f ca="1">'unit calc'!A207</f>
        <v>QF 6 pounder_185</v>
      </c>
    </row>
    <row r="503" spans="1:4" x14ac:dyDescent="0.35">
      <c r="A503" t="s">
        <v>88</v>
      </c>
      <c r="B503" t="s">
        <v>98</v>
      </c>
      <c r="C503" s="13" t="s">
        <v>365</v>
      </c>
      <c r="D503" s="197" t="str">
        <f ca="1">'unit calc'!A208</f>
        <v>QF 17 pounder_261</v>
      </c>
    </row>
    <row r="504" spans="1:4" x14ac:dyDescent="0.35">
      <c r="A504" t="s">
        <v>88</v>
      </c>
      <c r="B504" t="s">
        <v>98</v>
      </c>
      <c r="C504" s="13" t="s">
        <v>50</v>
      </c>
      <c r="D504" s="197" t="str">
        <f ca="1">'unit calc'!A57</f>
        <v>jeep_16</v>
      </c>
    </row>
    <row r="505" spans="1:4" x14ac:dyDescent="0.35">
      <c r="A505" t="s">
        <v>88</v>
      </c>
      <c r="B505" t="s">
        <v>98</v>
      </c>
      <c r="C505" s="13" t="s">
        <v>50</v>
      </c>
      <c r="D505" s="197" t="str">
        <f ca="1">'unit calc'!A58</f>
        <v>truck_34</v>
      </c>
    </row>
    <row r="506" spans="1:4" x14ac:dyDescent="0.35">
      <c r="A506" t="s">
        <v>88</v>
      </c>
      <c r="B506" t="s">
        <v>98</v>
      </c>
      <c r="C506" s="13" t="s">
        <v>50</v>
      </c>
      <c r="D506" s="197" t="str">
        <f ca="1">'unit calc'!A59</f>
        <v>bren gun carrier_70</v>
      </c>
    </row>
    <row r="507" spans="1:4" x14ac:dyDescent="0.35">
      <c r="A507" t="s">
        <v>88</v>
      </c>
      <c r="B507" t="s">
        <v>98</v>
      </c>
      <c r="C507" s="13" t="s">
        <v>50</v>
      </c>
      <c r="D507" s="197" t="str">
        <f ca="1">'unit calc'!A60</f>
        <v>armoured car_95</v>
      </c>
    </row>
    <row r="508" spans="1:4" x14ac:dyDescent="0.35">
      <c r="A508" t="s">
        <v>88</v>
      </c>
      <c r="B508" t="s">
        <v>98</v>
      </c>
      <c r="C508" s="13" t="s">
        <v>50</v>
      </c>
      <c r="D508" s="197" t="str">
        <f ca="1">'unit calc'!A61</f>
        <v>half track_89</v>
      </c>
    </row>
    <row r="509" spans="1:4" x14ac:dyDescent="0.35">
      <c r="A509" t="s">
        <v>88</v>
      </c>
      <c r="B509" t="s">
        <v>98</v>
      </c>
      <c r="C509" s="64" t="s">
        <v>374</v>
      </c>
      <c r="D509" s="200" t="str">
        <f ca="1">'unit calc'!A67</f>
        <v>Valentine_270</v>
      </c>
    </row>
    <row r="510" spans="1:4" x14ac:dyDescent="0.35">
      <c r="A510" t="s">
        <v>88</v>
      </c>
      <c r="B510" t="s">
        <v>98</v>
      </c>
      <c r="C510" s="64" t="s">
        <v>374</v>
      </c>
      <c r="D510" s="200" t="str">
        <f ca="1">'unit calc'!A68</f>
        <v>Valentine MK.IX_285</v>
      </c>
    </row>
    <row r="511" spans="1:4" x14ac:dyDescent="0.35">
      <c r="A511" t="s">
        <v>88</v>
      </c>
      <c r="B511" t="s">
        <v>98</v>
      </c>
      <c r="C511" s="64" t="s">
        <v>374</v>
      </c>
      <c r="D511" s="200" t="str">
        <f ca="1">'unit calc'!A75</f>
        <v>Humber AC_150</v>
      </c>
    </row>
    <row r="512" spans="1:4" x14ac:dyDescent="0.35">
      <c r="A512" t="s">
        <v>88</v>
      </c>
      <c r="B512" t="s">
        <v>98</v>
      </c>
      <c r="C512" s="64" t="s">
        <v>374</v>
      </c>
      <c r="D512" s="200" t="str">
        <f ca="1">'unit calc'!A76</f>
        <v>T17 Staghound MK.III_160</v>
      </c>
    </row>
    <row r="513" spans="1:4" x14ac:dyDescent="0.35">
      <c r="A513" t="s">
        <v>88</v>
      </c>
      <c r="B513" t="s">
        <v>98</v>
      </c>
      <c r="C513" s="64" t="s">
        <v>374</v>
      </c>
      <c r="D513" s="197" t="str">
        <f ca="1">'unit calc'!A79</f>
        <v>M3 Stuart_210</v>
      </c>
    </row>
    <row r="514" spans="1:4" x14ac:dyDescent="0.35">
      <c r="A514" t="s">
        <v>88</v>
      </c>
      <c r="B514" t="s">
        <v>98</v>
      </c>
      <c r="C514" s="64" t="s">
        <v>374</v>
      </c>
      <c r="D514" s="197" t="str">
        <f ca="1">'unit calc'!A82</f>
        <v>Achilles_350</v>
      </c>
    </row>
    <row r="515" spans="1:4" x14ac:dyDescent="0.35">
      <c r="A515" t="s">
        <v>88</v>
      </c>
      <c r="B515" t="s">
        <v>98</v>
      </c>
      <c r="C515" s="64" t="s">
        <v>374</v>
      </c>
      <c r="D515" s="200" t="str">
        <f ca="1">'unit calc'!A84</f>
        <v>Matilda III_430</v>
      </c>
    </row>
    <row r="516" spans="1:4" x14ac:dyDescent="0.35">
      <c r="A516" t="s">
        <v>88</v>
      </c>
      <c r="B516" t="s">
        <v>98</v>
      </c>
      <c r="C516" s="64" t="s">
        <v>374</v>
      </c>
      <c r="D516" s="200" t="str">
        <f ca="1">'unit calc'!A86</f>
        <v>Cromwell_355</v>
      </c>
    </row>
    <row r="517" spans="1:4" x14ac:dyDescent="0.35">
      <c r="A517" t="s">
        <v>88</v>
      </c>
      <c r="B517" t="s">
        <v>98</v>
      </c>
      <c r="C517" s="64" t="s">
        <v>374</v>
      </c>
      <c r="D517" s="197" t="str">
        <f ca="1">'unit calc'!A101</f>
        <v>comet_485</v>
      </c>
    </row>
    <row r="518" spans="1:4" x14ac:dyDescent="0.35">
      <c r="A518" t="s">
        <v>88</v>
      </c>
      <c r="B518" t="s">
        <v>98</v>
      </c>
      <c r="C518" s="64" t="s">
        <v>374</v>
      </c>
      <c r="D518" s="197" t="str">
        <f ca="1">'unit calc'!A87</f>
        <v>M4A2 Sherman_375</v>
      </c>
    </row>
    <row r="519" spans="1:4" x14ac:dyDescent="0.35">
      <c r="A519" t="s">
        <v>88</v>
      </c>
      <c r="B519" t="s">
        <v>98</v>
      </c>
      <c r="C519" s="64" t="s">
        <v>374</v>
      </c>
      <c r="D519" s="200" t="str">
        <f ca="1">'unit calc'!A92</f>
        <v>M4 Firefly_475</v>
      </c>
    </row>
    <row r="520" spans="1:4" x14ac:dyDescent="0.35">
      <c r="A520" t="s">
        <v>88</v>
      </c>
      <c r="B520" t="s">
        <v>98</v>
      </c>
      <c r="C520" s="64" t="s">
        <v>374</v>
      </c>
      <c r="D520" s="200" t="str">
        <f ca="1">'unit calc'!A95</f>
        <v>Churchill_690</v>
      </c>
    </row>
    <row r="521" spans="1:4" x14ac:dyDescent="0.35">
      <c r="A521" t="s">
        <v>88</v>
      </c>
      <c r="B521" t="s">
        <v>17</v>
      </c>
      <c r="C521" s="64" t="s">
        <v>89</v>
      </c>
      <c r="D521" s="200" t="str">
        <f ca="1">'unit calc'!A67</f>
        <v>Valentine_270</v>
      </c>
    </row>
    <row r="522" spans="1:4" x14ac:dyDescent="0.35">
      <c r="A522" t="s">
        <v>88</v>
      </c>
      <c r="B522" t="s">
        <v>17</v>
      </c>
      <c r="C522" s="64" t="s">
        <v>89</v>
      </c>
      <c r="D522" s="200" t="str">
        <f ca="1">'unit calc'!A68</f>
        <v>Valentine MK.IX_285</v>
      </c>
    </row>
    <row r="523" spans="1:4" x14ac:dyDescent="0.35">
      <c r="A523" t="s">
        <v>88</v>
      </c>
      <c r="B523" t="s">
        <v>17</v>
      </c>
      <c r="C523" s="64" t="s">
        <v>89</v>
      </c>
      <c r="D523" s="200" t="str">
        <f ca="1">'unit calc'!A75</f>
        <v>Humber AC_150</v>
      </c>
    </row>
    <row r="524" spans="1:4" x14ac:dyDescent="0.35">
      <c r="A524" t="s">
        <v>88</v>
      </c>
      <c r="B524" t="s">
        <v>17</v>
      </c>
      <c r="C524" s="64" t="s">
        <v>89</v>
      </c>
      <c r="D524" s="200" t="str">
        <f ca="1">'unit calc'!A76</f>
        <v>T17 Staghound MK.III_160</v>
      </c>
    </row>
    <row r="525" spans="1:4" x14ac:dyDescent="0.35">
      <c r="A525" t="s">
        <v>88</v>
      </c>
      <c r="B525" t="s">
        <v>17</v>
      </c>
      <c r="C525" s="64" t="s">
        <v>89</v>
      </c>
      <c r="D525" s="200" t="str">
        <f ca="1">'unit calc'!A79</f>
        <v>M3 Stuart_210</v>
      </c>
    </row>
    <row r="526" spans="1:4" x14ac:dyDescent="0.35">
      <c r="A526" t="s">
        <v>88</v>
      </c>
      <c r="B526" t="s">
        <v>17</v>
      </c>
      <c r="C526" s="64" t="s">
        <v>89</v>
      </c>
      <c r="D526" s="200" t="str">
        <f ca="1">'unit calc'!A82</f>
        <v>Achilles_350</v>
      </c>
    </row>
    <row r="527" spans="1:4" x14ac:dyDescent="0.35">
      <c r="A527" t="s">
        <v>88</v>
      </c>
      <c r="B527" t="s">
        <v>17</v>
      </c>
      <c r="C527" s="64" t="s">
        <v>89</v>
      </c>
      <c r="D527" s="200" t="str">
        <f ca="1">'unit calc'!A84</f>
        <v>Matilda III_430</v>
      </c>
    </row>
    <row r="528" spans="1:4" x14ac:dyDescent="0.35">
      <c r="A528" t="s">
        <v>88</v>
      </c>
      <c r="B528" t="s">
        <v>17</v>
      </c>
      <c r="C528" s="64" t="s">
        <v>89</v>
      </c>
      <c r="D528" s="197" t="str">
        <f ca="1">'unit calc'!A101</f>
        <v>comet_485</v>
      </c>
    </row>
    <row r="529" spans="1:4" x14ac:dyDescent="0.35">
      <c r="A529" t="s">
        <v>88</v>
      </c>
      <c r="B529" t="s">
        <v>17</v>
      </c>
      <c r="C529" s="64" t="s">
        <v>89</v>
      </c>
      <c r="D529" s="200" t="str">
        <f ca="1">'unit calc'!A86</f>
        <v>Cromwell_355</v>
      </c>
    </row>
    <row r="530" spans="1:4" x14ac:dyDescent="0.35">
      <c r="A530" t="s">
        <v>88</v>
      </c>
      <c r="B530" t="s">
        <v>17</v>
      </c>
      <c r="C530" s="64" t="s">
        <v>89</v>
      </c>
      <c r="D530" s="200" t="str">
        <f ca="1">'unit calc'!A87</f>
        <v>M4A2 Sherman_375</v>
      </c>
    </row>
    <row r="531" spans="1:4" x14ac:dyDescent="0.35">
      <c r="A531" t="s">
        <v>88</v>
      </c>
      <c r="B531" t="s">
        <v>17</v>
      </c>
      <c r="C531" s="64" t="s">
        <v>89</v>
      </c>
      <c r="D531" s="200" t="str">
        <f ca="1">'unit calc'!A92</f>
        <v>M4 Firefly_475</v>
      </c>
    </row>
    <row r="532" spans="1:4" x14ac:dyDescent="0.35">
      <c r="A532" t="s">
        <v>88</v>
      </c>
      <c r="B532" t="s">
        <v>17</v>
      </c>
      <c r="C532" s="64" t="s">
        <v>89</v>
      </c>
      <c r="D532" s="200" t="str">
        <f ca="1">'unit calc'!A95</f>
        <v>Churchill_690</v>
      </c>
    </row>
    <row r="533" spans="1:4" x14ac:dyDescent="0.35">
      <c r="A533" t="s">
        <v>88</v>
      </c>
      <c r="B533" t="s">
        <v>17</v>
      </c>
      <c r="C533" s="64" t="s">
        <v>374</v>
      </c>
      <c r="D533" s="197" t="str">
        <f ca="1">'unit calc'!A67</f>
        <v>Valentine_270</v>
      </c>
    </row>
    <row r="534" spans="1:4" x14ac:dyDescent="0.35">
      <c r="A534" t="s">
        <v>88</v>
      </c>
      <c r="B534" t="s">
        <v>17</v>
      </c>
      <c r="C534" s="64" t="s">
        <v>374</v>
      </c>
      <c r="D534" s="197" t="str">
        <f ca="1">'unit calc'!A68</f>
        <v>Valentine MK.IX_285</v>
      </c>
    </row>
    <row r="535" spans="1:4" x14ac:dyDescent="0.35">
      <c r="A535" t="s">
        <v>88</v>
      </c>
      <c r="B535" t="s">
        <v>17</v>
      </c>
      <c r="C535" s="64" t="s">
        <v>374</v>
      </c>
      <c r="D535" s="197" t="str">
        <f ca="1">'unit calc'!A75</f>
        <v>Humber AC_150</v>
      </c>
    </row>
    <row r="536" spans="1:4" x14ac:dyDescent="0.35">
      <c r="A536" t="s">
        <v>88</v>
      </c>
      <c r="B536" t="s">
        <v>17</v>
      </c>
      <c r="C536" s="64" t="s">
        <v>374</v>
      </c>
      <c r="D536" s="197" t="str">
        <f ca="1">'unit calc'!A76</f>
        <v>T17 Staghound MK.III_160</v>
      </c>
    </row>
    <row r="537" spans="1:4" x14ac:dyDescent="0.35">
      <c r="A537" t="s">
        <v>88</v>
      </c>
      <c r="B537" t="s">
        <v>17</v>
      </c>
      <c r="C537" s="64" t="s">
        <v>374</v>
      </c>
      <c r="D537" s="197" t="str">
        <f ca="1">'unit calc'!A79</f>
        <v>M3 Stuart_210</v>
      </c>
    </row>
    <row r="538" spans="1:4" x14ac:dyDescent="0.35">
      <c r="A538" t="s">
        <v>88</v>
      </c>
      <c r="B538" t="s">
        <v>17</v>
      </c>
      <c r="C538" s="64" t="s">
        <v>374</v>
      </c>
      <c r="D538" s="197" t="str">
        <f ca="1">'unit calc'!A82</f>
        <v>Achilles_350</v>
      </c>
    </row>
    <row r="539" spans="1:4" x14ac:dyDescent="0.35">
      <c r="A539" t="s">
        <v>88</v>
      </c>
      <c r="B539" t="s">
        <v>17</v>
      </c>
      <c r="C539" s="64" t="s">
        <v>374</v>
      </c>
      <c r="D539" s="197" t="str">
        <f ca="1">'unit calc'!A84</f>
        <v>Matilda III_430</v>
      </c>
    </row>
    <row r="540" spans="1:4" x14ac:dyDescent="0.35">
      <c r="A540" t="s">
        <v>88</v>
      </c>
      <c r="B540" t="s">
        <v>17</v>
      </c>
      <c r="C540" s="64" t="s">
        <v>374</v>
      </c>
      <c r="D540" s="197" t="str">
        <f ca="1">'unit calc'!A86</f>
        <v>Cromwell_355</v>
      </c>
    </row>
    <row r="541" spans="1:4" x14ac:dyDescent="0.35">
      <c r="A541" t="s">
        <v>88</v>
      </c>
      <c r="B541" t="s">
        <v>17</v>
      </c>
      <c r="C541" s="64" t="s">
        <v>374</v>
      </c>
      <c r="D541" s="197" t="str">
        <f ca="1">'unit calc'!A101</f>
        <v>comet_485</v>
      </c>
    </row>
    <row r="542" spans="1:4" x14ac:dyDescent="0.35">
      <c r="A542" t="s">
        <v>88</v>
      </c>
      <c r="B542" t="s">
        <v>17</v>
      </c>
      <c r="C542" s="64" t="s">
        <v>374</v>
      </c>
      <c r="D542" s="197" t="str">
        <f ca="1">'unit calc'!A87</f>
        <v>M4A2 Sherman_375</v>
      </c>
    </row>
    <row r="543" spans="1:4" x14ac:dyDescent="0.35">
      <c r="A543" t="s">
        <v>88</v>
      </c>
      <c r="B543" t="s">
        <v>17</v>
      </c>
      <c r="C543" s="64" t="s">
        <v>374</v>
      </c>
      <c r="D543" s="197" t="str">
        <f ca="1">'unit calc'!A92</f>
        <v>M4 Firefly_475</v>
      </c>
    </row>
    <row r="544" spans="1:4" x14ac:dyDescent="0.35">
      <c r="A544" t="s">
        <v>88</v>
      </c>
      <c r="B544" t="s">
        <v>17</v>
      </c>
      <c r="C544" s="64" t="s">
        <v>374</v>
      </c>
      <c r="D544" s="197" t="str">
        <f ca="1">'unit calc'!A95</f>
        <v>Churchill_690</v>
      </c>
    </row>
    <row r="545" spans="1:4" x14ac:dyDescent="0.35">
      <c r="A545" t="s">
        <v>73</v>
      </c>
      <c r="B545" t="s">
        <v>86</v>
      </c>
      <c r="C545" s="64" t="s">
        <v>368</v>
      </c>
      <c r="D545" s="197" t="str">
        <f ca="1">'unit calc'!A32</f>
        <v>rifle squad_250</v>
      </c>
    </row>
    <row r="546" spans="1:4" x14ac:dyDescent="0.35">
      <c r="A546" t="s">
        <v>73</v>
      </c>
      <c r="B546" t="s">
        <v>86</v>
      </c>
      <c r="C546" s="64" t="s">
        <v>368</v>
      </c>
      <c r="D546" s="197" t="str">
        <f ca="1">'unit calc'!A33</f>
        <v>assault squad_205</v>
      </c>
    </row>
    <row r="547" spans="1:4" x14ac:dyDescent="0.35">
      <c r="A547" t="s">
        <v>73</v>
      </c>
      <c r="B547" t="s">
        <v>86</v>
      </c>
      <c r="C547" s="64" t="s">
        <v>368</v>
      </c>
      <c r="D547" s="197" t="str">
        <f ca="1">'unit calc'!A34</f>
        <v>gun squad_243</v>
      </c>
    </row>
    <row r="548" spans="1:4" x14ac:dyDescent="0.35">
      <c r="A548" t="s">
        <v>73</v>
      </c>
      <c r="B548" t="s">
        <v>86</v>
      </c>
      <c r="C548" s="64" t="s">
        <v>368</v>
      </c>
      <c r="D548" s="197" t="str">
        <f ca="1">'unit calc'!A35</f>
        <v>recon squad_171</v>
      </c>
    </row>
    <row r="549" spans="1:4" x14ac:dyDescent="0.35">
      <c r="A549" t="s">
        <v>73</v>
      </c>
      <c r="B549" t="s">
        <v>86</v>
      </c>
      <c r="C549" s="64" t="s">
        <v>106</v>
      </c>
      <c r="D549" s="197" t="str">
        <f ca="1">'unit calc'!A129</f>
        <v>mortar squad_209</v>
      </c>
    </row>
    <row r="550" spans="1:4" x14ac:dyDescent="0.35">
      <c r="A550" t="s">
        <v>73</v>
      </c>
      <c r="B550" t="s">
        <v>86</v>
      </c>
      <c r="C550" s="64" t="s">
        <v>106</v>
      </c>
      <c r="D550" s="197" t="str">
        <f ca="1">'unit calc'!A130</f>
        <v>mortar x2 squad_261</v>
      </c>
    </row>
    <row r="551" spans="1:4" x14ac:dyDescent="0.35">
      <c r="A551" t="s">
        <v>73</v>
      </c>
      <c r="B551" t="s">
        <v>86</v>
      </c>
      <c r="C551" s="64" t="s">
        <v>106</v>
      </c>
      <c r="D551" s="197" t="str">
        <f ca="1">'unit calc'!A131</f>
        <v>MPAT squad_179</v>
      </c>
    </row>
    <row r="552" spans="1:4" x14ac:dyDescent="0.35">
      <c r="A552" t="s">
        <v>73</v>
      </c>
      <c r="B552" t="s">
        <v>86</v>
      </c>
      <c r="C552" s="64" t="s">
        <v>106</v>
      </c>
      <c r="D552" s="197" t="str">
        <f ca="1">'unit calc'!A132</f>
        <v>MPAT x2 squad_201</v>
      </c>
    </row>
    <row r="553" spans="1:4" x14ac:dyDescent="0.35">
      <c r="A553" t="s">
        <v>73</v>
      </c>
      <c r="B553" t="s">
        <v>86</v>
      </c>
      <c r="C553" s="64" t="s">
        <v>106</v>
      </c>
      <c r="D553" s="197" t="str">
        <f ca="1">'unit calc'!A133</f>
        <v>MMG squad_186</v>
      </c>
    </row>
    <row r="554" spans="1:4" x14ac:dyDescent="0.35">
      <c r="A554" t="s">
        <v>73</v>
      </c>
      <c r="B554" t="s">
        <v>86</v>
      </c>
      <c r="C554" s="64" t="s">
        <v>106</v>
      </c>
      <c r="D554" s="197" t="str">
        <f ca="1">'unit calc'!A134</f>
        <v>MMG x2 squad_215</v>
      </c>
    </row>
    <row r="555" spans="1:4" x14ac:dyDescent="0.35">
      <c r="A555" t="s">
        <v>73</v>
      </c>
      <c r="B555" t="s">
        <v>86</v>
      </c>
      <c r="C555" s="64" t="s">
        <v>106</v>
      </c>
      <c r="D555" s="197" t="str">
        <f ca="1">'unit calc'!A135</f>
        <v>MMG, HMG squad_222</v>
      </c>
    </row>
    <row r="556" spans="1:4" x14ac:dyDescent="0.35">
      <c r="A556" t="s">
        <v>73</v>
      </c>
      <c r="B556" t="s">
        <v>86</v>
      </c>
      <c r="C556" s="64" t="s">
        <v>106</v>
      </c>
      <c r="D556" s="197" t="str">
        <f ca="1">'unit calc'!A136</f>
        <v>HMG_193</v>
      </c>
    </row>
    <row r="557" spans="1:4" x14ac:dyDescent="0.35">
      <c r="A557" t="s">
        <v>73</v>
      </c>
      <c r="B557" t="s">
        <v>86</v>
      </c>
      <c r="C557" s="64" t="s">
        <v>106</v>
      </c>
      <c r="D557" s="197" t="str">
        <f ca="1">'unit calc'!A137</f>
        <v>HMG x2 squad_229</v>
      </c>
    </row>
    <row r="558" spans="1:4" x14ac:dyDescent="0.35">
      <c r="A558" t="s">
        <v>73</v>
      </c>
      <c r="B558" t="s">
        <v>86</v>
      </c>
      <c r="C558" s="64" t="s">
        <v>106</v>
      </c>
      <c r="D558" s="197" t="str">
        <f ca="1">'unit calc'!A138</f>
        <v>flame squad_196</v>
      </c>
    </row>
    <row r="559" spans="1:4" x14ac:dyDescent="0.35">
      <c r="A559" t="s">
        <v>73</v>
      </c>
      <c r="B559" t="s">
        <v>86</v>
      </c>
      <c r="C559" s="64" t="s">
        <v>106</v>
      </c>
      <c r="D559" s="197" t="str">
        <f ca="1">'unit calc'!A139</f>
        <v>FLAME x2 squad_235</v>
      </c>
    </row>
    <row r="560" spans="1:4" x14ac:dyDescent="0.35">
      <c r="A560" t="s">
        <v>73</v>
      </c>
      <c r="B560" t="s">
        <v>86</v>
      </c>
      <c r="C560" s="64" t="s">
        <v>106</v>
      </c>
      <c r="D560" s="197" t="str">
        <f ca="1">'unit calc'!A140</f>
        <v>marksman squad_184</v>
      </c>
    </row>
    <row r="561" spans="1:4" x14ac:dyDescent="0.35">
      <c r="A561" t="s">
        <v>73</v>
      </c>
      <c r="B561" t="s">
        <v>86</v>
      </c>
      <c r="C561" s="64" t="s">
        <v>106</v>
      </c>
      <c r="D561" s="197" t="str">
        <f ca="1">'unit calc'!A141</f>
        <v>marksman x2 squad_211</v>
      </c>
    </row>
    <row r="562" spans="1:4" x14ac:dyDescent="0.35">
      <c r="A562" t="s">
        <v>73</v>
      </c>
      <c r="B562" t="s">
        <v>86</v>
      </c>
      <c r="C562" s="64" t="str">
        <f>G5</f>
        <v>special_forces_1</v>
      </c>
      <c r="D562" s="197" t="str">
        <f ca="1">'unit calc'!A226</f>
        <v>experienced, _72</v>
      </c>
    </row>
    <row r="563" spans="1:4" x14ac:dyDescent="0.35">
      <c r="A563" t="s">
        <v>73</v>
      </c>
      <c r="B563" t="s">
        <v>86</v>
      </c>
      <c r="C563" s="64" t="str">
        <f>G6</f>
        <v>special_forces_2</v>
      </c>
      <c r="D563" s="197" t="str">
        <f ca="1">'unit calc'!A227</f>
        <v>experienced, _72</v>
      </c>
    </row>
    <row r="564" spans="1:4" x14ac:dyDescent="0.35">
      <c r="A564" t="s">
        <v>73</v>
      </c>
      <c r="B564" t="s">
        <v>86</v>
      </c>
      <c r="C564" s="64" t="s">
        <v>504</v>
      </c>
      <c r="D564" s="197" t="str">
        <f ca="1">'unit calc'!A40</f>
        <v>mmg team_75</v>
      </c>
    </row>
    <row r="565" spans="1:4" x14ac:dyDescent="0.35">
      <c r="A565" t="s">
        <v>73</v>
      </c>
      <c r="B565" t="s">
        <v>86</v>
      </c>
      <c r="C565" s="64" t="s">
        <v>504</v>
      </c>
      <c r="D565" s="197" t="str">
        <f ca="1">'unit calc'!A41</f>
        <v>hmg team_82</v>
      </c>
    </row>
    <row r="566" spans="1:4" x14ac:dyDescent="0.35">
      <c r="A566" t="s">
        <v>73</v>
      </c>
      <c r="B566" t="s">
        <v>86</v>
      </c>
      <c r="C566" s="64" t="s">
        <v>504</v>
      </c>
      <c r="D566" s="197" t="str">
        <f ca="1">'unit calc'!A42</f>
        <v>sniper_60</v>
      </c>
    </row>
    <row r="567" spans="1:4" x14ac:dyDescent="0.35">
      <c r="A567" t="s">
        <v>73</v>
      </c>
      <c r="B567" t="s">
        <v>86</v>
      </c>
      <c r="C567" s="64" t="s">
        <v>504</v>
      </c>
      <c r="D567" s="197" t="str">
        <f ca="1">'unit calc'!A43</f>
        <v>mpat team_68</v>
      </c>
    </row>
    <row r="568" spans="1:4" x14ac:dyDescent="0.35">
      <c r="A568" t="s">
        <v>73</v>
      </c>
      <c r="B568" t="s">
        <v>86</v>
      </c>
      <c r="C568" s="64" t="s">
        <v>504</v>
      </c>
      <c r="D568" s="197" t="str">
        <f ca="1">'unit calc'!A44</f>
        <v>flame thrower team_85</v>
      </c>
    </row>
    <row r="569" spans="1:4" x14ac:dyDescent="0.35">
      <c r="A569" t="s">
        <v>73</v>
      </c>
      <c r="B569" t="s">
        <v>86</v>
      </c>
      <c r="C569" s="64" t="s">
        <v>504</v>
      </c>
      <c r="D569" s="197" t="str">
        <f ca="1">'unit calc'!A45</f>
        <v>mortar team_98</v>
      </c>
    </row>
    <row r="570" spans="1:4" x14ac:dyDescent="0.35">
      <c r="A570" t="s">
        <v>73</v>
      </c>
      <c r="B570" t="s">
        <v>86</v>
      </c>
      <c r="C570" t="str">
        <f>I3</f>
        <v>feild_gun</v>
      </c>
      <c r="D570" s="197" t="str">
        <f ca="1">'unit calc'!A189</f>
        <v>20mm flak 30/38_48</v>
      </c>
    </row>
    <row r="571" spans="1:4" x14ac:dyDescent="0.35">
      <c r="A571" t="s">
        <v>73</v>
      </c>
      <c r="B571" t="s">
        <v>86</v>
      </c>
      <c r="C571" t="str">
        <f>I3</f>
        <v>feild_gun</v>
      </c>
      <c r="D571" s="197" t="str">
        <f ca="1">'unit calc'!A190</f>
        <v>37mm bofors_32</v>
      </c>
    </row>
    <row r="572" spans="1:4" x14ac:dyDescent="0.35">
      <c r="A572" t="s">
        <v>73</v>
      </c>
      <c r="B572" t="s">
        <v>86</v>
      </c>
      <c r="C572" t="str">
        <f>I3</f>
        <v>feild_gun</v>
      </c>
      <c r="D572" s="197" t="str">
        <f ca="1">'unit calc'!A191</f>
        <v>45mm m1932_42</v>
      </c>
    </row>
    <row r="573" spans="1:4" x14ac:dyDescent="0.35">
      <c r="A573" t="s">
        <v>73</v>
      </c>
      <c r="B573" t="s">
        <v>86</v>
      </c>
      <c r="C573" t="str">
        <f>I3</f>
        <v>feild_gun</v>
      </c>
      <c r="D573" s="197" t="str">
        <f ca="1">'unit calc'!A192</f>
        <v>75mm pak 40_102</v>
      </c>
    </row>
    <row r="574" spans="1:4" x14ac:dyDescent="0.35">
      <c r="A574" t="s">
        <v>73</v>
      </c>
      <c r="B574" t="s">
        <v>86</v>
      </c>
      <c r="C574" t="str">
        <f>I3</f>
        <v>feild_gun</v>
      </c>
      <c r="D574" s="197" t="str">
        <f ca="1">'unit calc'!A183</f>
        <v>76.2mm Zis-3_84</v>
      </c>
    </row>
    <row r="575" spans="1:4" x14ac:dyDescent="0.35">
      <c r="A575" t="s">
        <v>73</v>
      </c>
      <c r="B575" t="s">
        <v>86</v>
      </c>
      <c r="C575" t="str">
        <f>I3</f>
        <v>feild_gun</v>
      </c>
      <c r="D575" s="197" t="str">
        <f ca="1">'unit calc'!A185</f>
        <v>100mm BS-3_144</v>
      </c>
    </row>
    <row r="576" spans="1:4" x14ac:dyDescent="0.35">
      <c r="A576" t="s">
        <v>73</v>
      </c>
      <c r="B576" t="s">
        <v>86</v>
      </c>
      <c r="C576" s="13" t="s">
        <v>365</v>
      </c>
      <c r="D576" s="197" t="str">
        <f ca="1">'unit calc'!A219</f>
        <v>20mm flak 30/38_152</v>
      </c>
    </row>
    <row r="577" spans="1:4" x14ac:dyDescent="0.35">
      <c r="A577" t="s">
        <v>73</v>
      </c>
      <c r="B577" t="s">
        <v>86</v>
      </c>
      <c r="C577" s="13" t="s">
        <v>365</v>
      </c>
      <c r="D577" s="197" t="str">
        <f ca="1">'unit calc'!A220</f>
        <v>37mm bofors_136</v>
      </c>
    </row>
    <row r="578" spans="1:4" x14ac:dyDescent="0.35">
      <c r="A578" t="s">
        <v>73</v>
      </c>
      <c r="B578" t="s">
        <v>86</v>
      </c>
      <c r="C578" s="13" t="s">
        <v>365</v>
      </c>
      <c r="D578" s="197" t="str">
        <f ca="1">'unit calc'!A221</f>
        <v>45mm m1932_146</v>
      </c>
    </row>
    <row r="579" spans="1:4" x14ac:dyDescent="0.35">
      <c r="A579" t="s">
        <v>73</v>
      </c>
      <c r="B579" t="s">
        <v>86</v>
      </c>
      <c r="C579" s="13" t="s">
        <v>365</v>
      </c>
      <c r="D579" s="197" t="str">
        <f ca="1">'unit calc'!A222</f>
        <v>75mm pak 40_219</v>
      </c>
    </row>
    <row r="580" spans="1:4" x14ac:dyDescent="0.35">
      <c r="A580" t="s">
        <v>73</v>
      </c>
      <c r="B580" t="s">
        <v>86</v>
      </c>
      <c r="C580" s="13" t="s">
        <v>365</v>
      </c>
      <c r="D580" s="197" t="str">
        <f ca="1">'unit calc'!A213</f>
        <v>76.2mm Zis-3_201</v>
      </c>
    </row>
    <row r="581" spans="1:4" x14ac:dyDescent="0.35">
      <c r="A581" t="s">
        <v>73</v>
      </c>
      <c r="B581" t="s">
        <v>86</v>
      </c>
      <c r="C581" s="13" t="s">
        <v>365</v>
      </c>
      <c r="D581" s="197" t="str">
        <f ca="1">'unit calc'!A215</f>
        <v>100mm BS-3_261</v>
      </c>
    </row>
    <row r="582" spans="1:4" x14ac:dyDescent="0.35">
      <c r="A582" t="s">
        <v>73</v>
      </c>
      <c r="B582" t="s">
        <v>86</v>
      </c>
      <c r="C582" s="13" t="s">
        <v>50</v>
      </c>
      <c r="D582" s="197" t="str">
        <f ca="1">'unit calc'!A57</f>
        <v>jeep_16</v>
      </c>
    </row>
    <row r="583" spans="1:4" x14ac:dyDescent="0.35">
      <c r="A583" t="s">
        <v>73</v>
      </c>
      <c r="B583" t="s">
        <v>86</v>
      </c>
      <c r="C583" s="13" t="s">
        <v>50</v>
      </c>
      <c r="D583" s="197" t="str">
        <f ca="1">'unit calc'!A58</f>
        <v>truck_34</v>
      </c>
    </row>
    <row r="584" spans="1:4" x14ac:dyDescent="0.35">
      <c r="A584" t="s">
        <v>73</v>
      </c>
      <c r="B584" t="s">
        <v>86</v>
      </c>
      <c r="C584" s="13" t="s">
        <v>50</v>
      </c>
      <c r="D584" s="197" t="str">
        <f ca="1">'unit calc'!A60</f>
        <v>armoured car_95</v>
      </c>
    </row>
    <row r="585" spans="1:4" x14ac:dyDescent="0.35">
      <c r="A585" t="s">
        <v>73</v>
      </c>
      <c r="B585" t="s">
        <v>13</v>
      </c>
      <c r="C585" s="64" t="s">
        <v>368</v>
      </c>
      <c r="D585" s="197" t="str">
        <f ca="1">'unit calc'!A32</f>
        <v>rifle squad_250</v>
      </c>
    </row>
    <row r="586" spans="1:4" x14ac:dyDescent="0.35">
      <c r="A586" t="s">
        <v>73</v>
      </c>
      <c r="B586" t="s">
        <v>13</v>
      </c>
      <c r="C586" s="64" t="s">
        <v>368</v>
      </c>
      <c r="D586" s="197" t="str">
        <f ca="1">'unit calc'!A33</f>
        <v>assault squad_205</v>
      </c>
    </row>
    <row r="587" spans="1:4" x14ac:dyDescent="0.35">
      <c r="A587" t="s">
        <v>73</v>
      </c>
      <c r="B587" t="s">
        <v>13</v>
      </c>
      <c r="C587" s="64" t="s">
        <v>368</v>
      </c>
      <c r="D587" s="197" t="str">
        <f ca="1">'unit calc'!A34</f>
        <v>gun squad_243</v>
      </c>
    </row>
    <row r="588" spans="1:4" x14ac:dyDescent="0.35">
      <c r="A588" t="s">
        <v>73</v>
      </c>
      <c r="B588" t="s">
        <v>13</v>
      </c>
      <c r="C588" s="64" t="s">
        <v>368</v>
      </c>
      <c r="D588" s="197" t="str">
        <f ca="1">'unit calc'!A35</f>
        <v>recon squad_171</v>
      </c>
    </row>
    <row r="589" spans="1:4" x14ac:dyDescent="0.35">
      <c r="A589" t="s">
        <v>73</v>
      </c>
      <c r="B589" t="s">
        <v>13</v>
      </c>
      <c r="C589" s="64" t="s">
        <v>106</v>
      </c>
      <c r="D589" s="197" t="str">
        <f ca="1">'unit calc'!A129</f>
        <v>mortar squad_209</v>
      </c>
    </row>
    <row r="590" spans="1:4" x14ac:dyDescent="0.35">
      <c r="A590" t="s">
        <v>73</v>
      </c>
      <c r="B590" t="s">
        <v>13</v>
      </c>
      <c r="C590" s="64" t="s">
        <v>106</v>
      </c>
      <c r="D590" s="197" t="str">
        <f ca="1">'unit calc'!A130</f>
        <v>mortar x2 squad_261</v>
      </c>
    </row>
    <row r="591" spans="1:4" x14ac:dyDescent="0.35">
      <c r="A591" t="s">
        <v>73</v>
      </c>
      <c r="B591" t="s">
        <v>13</v>
      </c>
      <c r="C591" s="64" t="s">
        <v>106</v>
      </c>
      <c r="D591" s="197" t="str">
        <f ca="1">'unit calc'!A131</f>
        <v>MPAT squad_179</v>
      </c>
    </row>
    <row r="592" spans="1:4" x14ac:dyDescent="0.35">
      <c r="A592" t="s">
        <v>73</v>
      </c>
      <c r="B592" t="s">
        <v>13</v>
      </c>
      <c r="C592" s="64" t="s">
        <v>106</v>
      </c>
      <c r="D592" s="197" t="str">
        <f ca="1">'unit calc'!A132</f>
        <v>MPAT x2 squad_201</v>
      </c>
    </row>
    <row r="593" spans="1:4" x14ac:dyDescent="0.35">
      <c r="A593" t="s">
        <v>73</v>
      </c>
      <c r="B593" t="s">
        <v>13</v>
      </c>
      <c r="C593" s="64" t="s">
        <v>106</v>
      </c>
      <c r="D593" s="197" t="str">
        <f ca="1">'unit calc'!A133</f>
        <v>MMG squad_186</v>
      </c>
    </row>
    <row r="594" spans="1:4" x14ac:dyDescent="0.35">
      <c r="A594" t="s">
        <v>73</v>
      </c>
      <c r="B594" t="s">
        <v>13</v>
      </c>
      <c r="C594" s="64" t="s">
        <v>106</v>
      </c>
      <c r="D594" s="197" t="str">
        <f ca="1">'unit calc'!A134</f>
        <v>MMG x2 squad_215</v>
      </c>
    </row>
    <row r="595" spans="1:4" x14ac:dyDescent="0.35">
      <c r="A595" t="s">
        <v>73</v>
      </c>
      <c r="B595" t="s">
        <v>13</v>
      </c>
      <c r="C595" s="64" t="s">
        <v>106</v>
      </c>
      <c r="D595" s="197" t="str">
        <f ca="1">'unit calc'!A135</f>
        <v>MMG, HMG squad_222</v>
      </c>
    </row>
    <row r="596" spans="1:4" x14ac:dyDescent="0.35">
      <c r="A596" t="s">
        <v>73</v>
      </c>
      <c r="B596" t="s">
        <v>13</v>
      </c>
      <c r="C596" s="64" t="s">
        <v>106</v>
      </c>
      <c r="D596" s="197" t="str">
        <f ca="1">'unit calc'!A136</f>
        <v>HMG_193</v>
      </c>
    </row>
    <row r="597" spans="1:4" x14ac:dyDescent="0.35">
      <c r="A597" t="s">
        <v>73</v>
      </c>
      <c r="B597" t="s">
        <v>13</v>
      </c>
      <c r="C597" s="64" t="s">
        <v>106</v>
      </c>
      <c r="D597" s="197" t="str">
        <f ca="1">'unit calc'!A137</f>
        <v>HMG x2 squad_229</v>
      </c>
    </row>
    <row r="598" spans="1:4" x14ac:dyDescent="0.35">
      <c r="A598" t="s">
        <v>73</v>
      </c>
      <c r="B598" t="s">
        <v>13</v>
      </c>
      <c r="C598" s="64" t="s">
        <v>106</v>
      </c>
      <c r="D598" s="197" t="str">
        <f ca="1">'unit calc'!A138</f>
        <v>flame squad_196</v>
      </c>
    </row>
    <row r="599" spans="1:4" x14ac:dyDescent="0.35">
      <c r="A599" t="s">
        <v>73</v>
      </c>
      <c r="B599" t="s">
        <v>13</v>
      </c>
      <c r="C599" s="64" t="s">
        <v>106</v>
      </c>
      <c r="D599" s="197" t="str">
        <f ca="1">'unit calc'!A139</f>
        <v>FLAME x2 squad_235</v>
      </c>
    </row>
    <row r="600" spans="1:4" x14ac:dyDescent="0.35">
      <c r="A600" t="s">
        <v>73</v>
      </c>
      <c r="B600" t="s">
        <v>13</v>
      </c>
      <c r="C600" s="64" t="s">
        <v>106</v>
      </c>
      <c r="D600" s="197" t="str">
        <f ca="1">'unit calc'!A140</f>
        <v>marksman squad_184</v>
      </c>
    </row>
    <row r="601" spans="1:4" x14ac:dyDescent="0.35">
      <c r="A601" t="s">
        <v>73</v>
      </c>
      <c r="B601" t="s">
        <v>13</v>
      </c>
      <c r="C601" s="64" t="s">
        <v>106</v>
      </c>
      <c r="D601" s="197" t="str">
        <f ca="1">'unit calc'!A141</f>
        <v>marksman x2 squad_211</v>
      </c>
    </row>
    <row r="602" spans="1:4" x14ac:dyDescent="0.35">
      <c r="A602" t="s">
        <v>73</v>
      </c>
      <c r="B602" t="s">
        <v>13</v>
      </c>
      <c r="C602" s="64" t="str">
        <f>G5</f>
        <v>special_forces_1</v>
      </c>
      <c r="D602" s="197" t="str">
        <f ca="1">'unit calc'!A226</f>
        <v>experienced, _72</v>
      </c>
    </row>
    <row r="603" spans="1:4" x14ac:dyDescent="0.35">
      <c r="A603" t="s">
        <v>73</v>
      </c>
      <c r="B603" t="s">
        <v>13</v>
      </c>
      <c r="C603" s="64" t="s">
        <v>504</v>
      </c>
      <c r="D603" s="197" t="str">
        <f ca="1">'unit calc'!A40</f>
        <v>mmg team_75</v>
      </c>
    </row>
    <row r="604" spans="1:4" x14ac:dyDescent="0.35">
      <c r="A604" t="s">
        <v>73</v>
      </c>
      <c r="B604" t="s">
        <v>13</v>
      </c>
      <c r="C604" s="64" t="s">
        <v>504</v>
      </c>
      <c r="D604" s="197" t="str">
        <f ca="1">'unit calc'!A41</f>
        <v>hmg team_82</v>
      </c>
    </row>
    <row r="605" spans="1:4" x14ac:dyDescent="0.35">
      <c r="A605" t="s">
        <v>73</v>
      </c>
      <c r="B605" t="s">
        <v>13</v>
      </c>
      <c r="C605" s="64" t="s">
        <v>504</v>
      </c>
      <c r="D605" s="197" t="str">
        <f ca="1">'unit calc'!A42</f>
        <v>sniper_60</v>
      </c>
    </row>
    <row r="606" spans="1:4" x14ac:dyDescent="0.35">
      <c r="A606" t="s">
        <v>73</v>
      </c>
      <c r="B606" t="s">
        <v>13</v>
      </c>
      <c r="C606" s="64" t="s">
        <v>504</v>
      </c>
      <c r="D606" s="197" t="str">
        <f ca="1">'unit calc'!A43</f>
        <v>mpat team_68</v>
      </c>
    </row>
    <row r="607" spans="1:4" x14ac:dyDescent="0.35">
      <c r="A607" t="s">
        <v>73</v>
      </c>
      <c r="B607" t="s">
        <v>13</v>
      </c>
      <c r="C607" s="64" t="s">
        <v>504</v>
      </c>
      <c r="D607" s="197" t="str">
        <f ca="1">'unit calc'!A44</f>
        <v>flame thrower team_85</v>
      </c>
    </row>
    <row r="608" spans="1:4" x14ac:dyDescent="0.35">
      <c r="A608" t="s">
        <v>73</v>
      </c>
      <c r="B608" t="s">
        <v>13</v>
      </c>
      <c r="C608" s="64" t="s">
        <v>504</v>
      </c>
      <c r="D608" s="197" t="str">
        <f ca="1">'unit calc'!A45</f>
        <v>mortar team_98</v>
      </c>
    </row>
    <row r="609" spans="1:4" x14ac:dyDescent="0.35">
      <c r="A609" t="s">
        <v>73</v>
      </c>
      <c r="B609" t="s">
        <v>13</v>
      </c>
      <c r="C609" t="str">
        <f>I3</f>
        <v>feild_gun</v>
      </c>
      <c r="D609" s="197" t="str">
        <f ca="1">'unit calc'!A189</f>
        <v>20mm flak 30/38_48</v>
      </c>
    </row>
    <row r="610" spans="1:4" x14ac:dyDescent="0.35">
      <c r="A610" t="s">
        <v>73</v>
      </c>
      <c r="B610" t="s">
        <v>13</v>
      </c>
      <c r="C610" t="str">
        <f>I3</f>
        <v>feild_gun</v>
      </c>
      <c r="D610" s="197" t="str">
        <f ca="1">'unit calc'!A190</f>
        <v>37mm bofors_32</v>
      </c>
    </row>
    <row r="611" spans="1:4" x14ac:dyDescent="0.35">
      <c r="A611" t="s">
        <v>73</v>
      </c>
      <c r="B611" t="s">
        <v>13</v>
      </c>
      <c r="C611" t="str">
        <f>I3</f>
        <v>feild_gun</v>
      </c>
      <c r="D611" s="197" t="str">
        <f ca="1">'unit calc'!A191</f>
        <v>45mm m1932_42</v>
      </c>
    </row>
    <row r="612" spans="1:4" x14ac:dyDescent="0.35">
      <c r="A612" t="s">
        <v>73</v>
      </c>
      <c r="B612" t="s">
        <v>13</v>
      </c>
      <c r="C612" t="str">
        <f>I3</f>
        <v>feild_gun</v>
      </c>
      <c r="D612" s="197" t="str">
        <f ca="1">'unit calc'!A192</f>
        <v>75mm pak 40_102</v>
      </c>
    </row>
    <row r="613" spans="1:4" x14ac:dyDescent="0.35">
      <c r="A613" t="s">
        <v>73</v>
      </c>
      <c r="B613" t="s">
        <v>13</v>
      </c>
      <c r="C613" t="str">
        <f>I3</f>
        <v>feild_gun</v>
      </c>
      <c r="D613" s="197" t="str">
        <f ca="1">'unit calc'!A183</f>
        <v>76.2mm Zis-3_84</v>
      </c>
    </row>
    <row r="614" spans="1:4" x14ac:dyDescent="0.35">
      <c r="A614" t="s">
        <v>73</v>
      </c>
      <c r="B614" t="s">
        <v>13</v>
      </c>
      <c r="C614" t="str">
        <f>I3</f>
        <v>feild_gun</v>
      </c>
      <c r="D614" s="197" t="str">
        <f ca="1">'unit calc'!A185</f>
        <v>100mm BS-3_144</v>
      </c>
    </row>
    <row r="615" spans="1:4" x14ac:dyDescent="0.35">
      <c r="A615" t="s">
        <v>73</v>
      </c>
      <c r="B615" t="s">
        <v>13</v>
      </c>
      <c r="C615" s="13" t="s">
        <v>365</v>
      </c>
      <c r="D615" s="197" t="str">
        <f ca="1">'unit calc'!A219</f>
        <v>20mm flak 30/38_152</v>
      </c>
    </row>
    <row r="616" spans="1:4" x14ac:dyDescent="0.35">
      <c r="A616" t="s">
        <v>73</v>
      </c>
      <c r="B616" t="s">
        <v>13</v>
      </c>
      <c r="C616" s="13" t="s">
        <v>365</v>
      </c>
      <c r="D616" s="197" t="str">
        <f ca="1">'unit calc'!A220</f>
        <v>37mm bofors_136</v>
      </c>
    </row>
    <row r="617" spans="1:4" x14ac:dyDescent="0.35">
      <c r="A617" t="s">
        <v>73</v>
      </c>
      <c r="B617" t="s">
        <v>13</v>
      </c>
      <c r="C617" s="13" t="s">
        <v>365</v>
      </c>
      <c r="D617" s="197" t="str">
        <f ca="1">'unit calc'!A221</f>
        <v>45mm m1932_146</v>
      </c>
    </row>
    <row r="618" spans="1:4" x14ac:dyDescent="0.35">
      <c r="A618" t="s">
        <v>73</v>
      </c>
      <c r="B618" t="s">
        <v>13</v>
      </c>
      <c r="C618" s="13" t="s">
        <v>365</v>
      </c>
      <c r="D618" s="197" t="str">
        <f ca="1">'unit calc'!A222</f>
        <v>75mm pak 40_219</v>
      </c>
    </row>
    <row r="619" spans="1:4" x14ac:dyDescent="0.35">
      <c r="A619" t="s">
        <v>73</v>
      </c>
      <c r="B619" t="s">
        <v>13</v>
      </c>
      <c r="C619" s="13" t="s">
        <v>365</v>
      </c>
      <c r="D619" s="197" t="str">
        <f ca="1">'unit calc'!A213</f>
        <v>76.2mm Zis-3_201</v>
      </c>
    </row>
    <row r="620" spans="1:4" x14ac:dyDescent="0.35">
      <c r="A620" t="s">
        <v>73</v>
      </c>
      <c r="B620" t="s">
        <v>13</v>
      </c>
      <c r="C620" s="13" t="s">
        <v>365</v>
      </c>
      <c r="D620" s="197" t="str">
        <f ca="1">'unit calc'!A215</f>
        <v>100mm BS-3_261</v>
      </c>
    </row>
    <row r="621" spans="1:4" x14ac:dyDescent="0.35">
      <c r="A621" t="s">
        <v>73</v>
      </c>
      <c r="B621" t="s">
        <v>13</v>
      </c>
      <c r="C621" s="13" t="s">
        <v>50</v>
      </c>
      <c r="D621" s="197" t="str">
        <f ca="1">'unit calc'!A57</f>
        <v>jeep_16</v>
      </c>
    </row>
    <row r="622" spans="1:4" x14ac:dyDescent="0.35">
      <c r="A622" t="s">
        <v>73</v>
      </c>
      <c r="B622" t="s">
        <v>13</v>
      </c>
      <c r="C622" s="13" t="s">
        <v>50</v>
      </c>
      <c r="D622" s="197" t="str">
        <f ca="1">'unit calc'!A58</f>
        <v>truck_34</v>
      </c>
    </row>
    <row r="623" spans="1:4" x14ac:dyDescent="0.35">
      <c r="A623" t="s">
        <v>73</v>
      </c>
      <c r="B623" t="s">
        <v>13</v>
      </c>
      <c r="C623" s="13" t="s">
        <v>50</v>
      </c>
      <c r="D623" s="197" t="str">
        <f ca="1">'unit calc'!A60</f>
        <v>armoured car_95</v>
      </c>
    </row>
    <row r="624" spans="1:4" x14ac:dyDescent="0.35">
      <c r="A624" t="s">
        <v>73</v>
      </c>
      <c r="B624" t="s">
        <v>13</v>
      </c>
      <c r="C624" s="13" t="s">
        <v>50</v>
      </c>
      <c r="D624" s="197" t="str">
        <f ca="1">'unit calc'!A61</f>
        <v>half track_89</v>
      </c>
    </row>
    <row r="625" spans="1:4" x14ac:dyDescent="0.35">
      <c r="A625" t="s">
        <v>73</v>
      </c>
      <c r="B625" t="s">
        <v>13</v>
      </c>
      <c r="C625" s="13" t="s">
        <v>50</v>
      </c>
      <c r="D625" s="197" t="str">
        <f ca="1">'unit calc'!A69</f>
        <v>BT-7_175</v>
      </c>
    </row>
    <row r="626" spans="1:4" x14ac:dyDescent="0.35">
      <c r="A626" t="s">
        <v>73</v>
      </c>
      <c r="B626" t="s">
        <v>13</v>
      </c>
      <c r="C626" s="13" t="s">
        <v>50</v>
      </c>
      <c r="D626" s="197" t="str">
        <f ca="1">'unit calc'!A70</f>
        <v>BT-42 HOW_265</v>
      </c>
    </row>
    <row r="627" spans="1:4" x14ac:dyDescent="0.35">
      <c r="A627" t="s">
        <v>73</v>
      </c>
      <c r="B627" t="s">
        <v>13</v>
      </c>
      <c r="C627" s="13" t="s">
        <v>50</v>
      </c>
      <c r="D627" s="197" t="str">
        <f ca="1">'unit calc'!A77</f>
        <v>Panzer III J_275</v>
      </c>
    </row>
    <row r="628" spans="1:4" x14ac:dyDescent="0.35">
      <c r="A628" t="s">
        <v>73</v>
      </c>
      <c r="B628" t="s">
        <v>13</v>
      </c>
      <c r="C628" s="13" t="s">
        <v>374</v>
      </c>
      <c r="D628" s="197" t="str">
        <f ca="1">'unit calc'!A69</f>
        <v>BT-7_175</v>
      </c>
    </row>
    <row r="629" spans="1:4" x14ac:dyDescent="0.35">
      <c r="A629" t="s">
        <v>73</v>
      </c>
      <c r="B629" t="s">
        <v>13</v>
      </c>
      <c r="C629" s="13" t="s">
        <v>374</v>
      </c>
      <c r="D629" s="197" t="str">
        <f ca="1">'unit calc'!A70</f>
        <v>BT-42 HOW_265</v>
      </c>
    </row>
    <row r="630" spans="1:4" x14ac:dyDescent="0.35">
      <c r="A630" t="s">
        <v>73</v>
      </c>
      <c r="B630" t="s">
        <v>13</v>
      </c>
      <c r="C630" s="13" t="s">
        <v>374</v>
      </c>
      <c r="D630" s="197" t="str">
        <f ca="1">'unit calc'!A77</f>
        <v>Panzer III J_275</v>
      </c>
    </row>
    <row r="631" spans="1:4" x14ac:dyDescent="0.35">
      <c r="A631" t="s">
        <v>73</v>
      </c>
      <c r="B631" t="s">
        <v>373</v>
      </c>
      <c r="C631" s="64" t="s">
        <v>368</v>
      </c>
      <c r="D631" s="197" t="str">
        <f ca="1">'unit calc'!A32</f>
        <v>rifle squad_250</v>
      </c>
    </row>
    <row r="632" spans="1:4" x14ac:dyDescent="0.35">
      <c r="A632" t="s">
        <v>73</v>
      </c>
      <c r="B632" t="s">
        <v>373</v>
      </c>
      <c r="C632" s="64" t="s">
        <v>368</v>
      </c>
      <c r="D632" s="197" t="str">
        <f ca="1">'unit calc'!A33</f>
        <v>assault squad_205</v>
      </c>
    </row>
    <row r="633" spans="1:4" x14ac:dyDescent="0.35">
      <c r="A633" t="s">
        <v>73</v>
      </c>
      <c r="B633" t="s">
        <v>373</v>
      </c>
      <c r="C633" s="64" t="s">
        <v>368</v>
      </c>
      <c r="D633" s="197" t="str">
        <f ca="1">'unit calc'!A34</f>
        <v>gun squad_243</v>
      </c>
    </row>
    <row r="634" spans="1:4" x14ac:dyDescent="0.35">
      <c r="A634" t="s">
        <v>73</v>
      </c>
      <c r="B634" t="s">
        <v>373</v>
      </c>
      <c r="C634" s="64" t="s">
        <v>368</v>
      </c>
      <c r="D634" s="197" t="str">
        <f ca="1">'unit calc'!A35</f>
        <v>recon squad_171</v>
      </c>
    </row>
    <row r="635" spans="1:4" x14ac:dyDescent="0.35">
      <c r="A635" t="s">
        <v>73</v>
      </c>
      <c r="B635" t="s">
        <v>373</v>
      </c>
      <c r="C635" s="64" t="s">
        <v>106</v>
      </c>
      <c r="D635" s="197" t="str">
        <f ca="1">'unit calc'!A129</f>
        <v>mortar squad_209</v>
      </c>
    </row>
    <row r="636" spans="1:4" x14ac:dyDescent="0.35">
      <c r="A636" t="s">
        <v>73</v>
      </c>
      <c r="B636" t="s">
        <v>373</v>
      </c>
      <c r="C636" s="64" t="s">
        <v>106</v>
      </c>
      <c r="D636" s="197" t="str">
        <f ca="1">'unit calc'!A130</f>
        <v>mortar x2 squad_261</v>
      </c>
    </row>
    <row r="637" spans="1:4" x14ac:dyDescent="0.35">
      <c r="A637" t="s">
        <v>73</v>
      </c>
      <c r="B637" t="s">
        <v>373</v>
      </c>
      <c r="C637" s="64" t="s">
        <v>106</v>
      </c>
      <c r="D637" s="197" t="str">
        <f ca="1">'unit calc'!A131</f>
        <v>MPAT squad_179</v>
      </c>
    </row>
    <row r="638" spans="1:4" x14ac:dyDescent="0.35">
      <c r="A638" t="s">
        <v>73</v>
      </c>
      <c r="B638" t="s">
        <v>373</v>
      </c>
      <c r="C638" s="64" t="s">
        <v>106</v>
      </c>
      <c r="D638" s="197" t="str">
        <f ca="1">'unit calc'!A132</f>
        <v>MPAT x2 squad_201</v>
      </c>
    </row>
    <row r="639" spans="1:4" x14ac:dyDescent="0.35">
      <c r="A639" t="s">
        <v>73</v>
      </c>
      <c r="B639" t="s">
        <v>373</v>
      </c>
      <c r="C639" s="64" t="s">
        <v>106</v>
      </c>
      <c r="D639" s="197" t="str">
        <f ca="1">'unit calc'!A133</f>
        <v>MMG squad_186</v>
      </c>
    </row>
    <row r="640" spans="1:4" x14ac:dyDescent="0.35">
      <c r="A640" t="s">
        <v>73</v>
      </c>
      <c r="B640" t="s">
        <v>373</v>
      </c>
      <c r="C640" s="64" t="s">
        <v>106</v>
      </c>
      <c r="D640" s="197" t="str">
        <f ca="1">'unit calc'!A134</f>
        <v>MMG x2 squad_215</v>
      </c>
    </row>
    <row r="641" spans="1:4" x14ac:dyDescent="0.35">
      <c r="A641" t="s">
        <v>73</v>
      </c>
      <c r="B641" t="s">
        <v>373</v>
      </c>
      <c r="C641" s="64" t="s">
        <v>106</v>
      </c>
      <c r="D641" s="197" t="str">
        <f ca="1">'unit calc'!A135</f>
        <v>MMG, HMG squad_222</v>
      </c>
    </row>
    <row r="642" spans="1:4" x14ac:dyDescent="0.35">
      <c r="A642" t="s">
        <v>73</v>
      </c>
      <c r="B642" t="s">
        <v>373</v>
      </c>
      <c r="C642" s="64" t="s">
        <v>106</v>
      </c>
      <c r="D642" s="197" t="str">
        <f ca="1">'unit calc'!A136</f>
        <v>HMG_193</v>
      </c>
    </row>
    <row r="643" spans="1:4" x14ac:dyDescent="0.35">
      <c r="A643" t="s">
        <v>73</v>
      </c>
      <c r="B643" t="s">
        <v>373</v>
      </c>
      <c r="C643" s="64" t="s">
        <v>106</v>
      </c>
      <c r="D643" s="197" t="str">
        <f ca="1">'unit calc'!A137</f>
        <v>HMG x2 squad_229</v>
      </c>
    </row>
    <row r="644" spans="1:4" x14ac:dyDescent="0.35">
      <c r="A644" t="s">
        <v>73</v>
      </c>
      <c r="B644" t="s">
        <v>373</v>
      </c>
      <c r="C644" s="64" t="s">
        <v>106</v>
      </c>
      <c r="D644" s="197" t="str">
        <f ca="1">'unit calc'!A138</f>
        <v>flame squad_196</v>
      </c>
    </row>
    <row r="645" spans="1:4" x14ac:dyDescent="0.35">
      <c r="A645" t="s">
        <v>73</v>
      </c>
      <c r="B645" t="s">
        <v>373</v>
      </c>
      <c r="C645" s="64" t="s">
        <v>106</v>
      </c>
      <c r="D645" s="197" t="str">
        <f ca="1">'unit calc'!A139</f>
        <v>FLAME x2 squad_235</v>
      </c>
    </row>
    <row r="646" spans="1:4" x14ac:dyDescent="0.35">
      <c r="A646" t="s">
        <v>73</v>
      </c>
      <c r="B646" t="s">
        <v>373</v>
      </c>
      <c r="C646" s="64" t="s">
        <v>106</v>
      </c>
      <c r="D646" s="197" t="str">
        <f ca="1">'unit calc'!A140</f>
        <v>marksman squad_184</v>
      </c>
    </row>
    <row r="647" spans="1:4" x14ac:dyDescent="0.35">
      <c r="A647" t="s">
        <v>73</v>
      </c>
      <c r="B647" t="s">
        <v>373</v>
      </c>
      <c r="C647" s="64" t="s">
        <v>106</v>
      </c>
      <c r="D647" s="197" t="str">
        <f ca="1">'unit calc'!A141</f>
        <v>marksman x2 squad_211</v>
      </c>
    </row>
    <row r="648" spans="1:4" x14ac:dyDescent="0.35">
      <c r="A648" t="s">
        <v>73</v>
      </c>
      <c r="B648" t="s">
        <v>373</v>
      </c>
      <c r="C648" s="64" t="str">
        <f>G5</f>
        <v>special_forces_1</v>
      </c>
      <c r="D648" s="197" t="str">
        <f ca="1">'unit calc'!A226</f>
        <v>experienced, _72</v>
      </c>
    </row>
    <row r="649" spans="1:4" x14ac:dyDescent="0.35">
      <c r="A649" t="s">
        <v>73</v>
      </c>
      <c r="B649" t="s">
        <v>373</v>
      </c>
      <c r="C649" s="64" t="str">
        <f t="shared" ref="C649:C650" si="6">G6</f>
        <v>special_forces_2</v>
      </c>
      <c r="D649" s="197" t="str">
        <f ca="1">'unit calc'!A227</f>
        <v>experienced, _72</v>
      </c>
    </row>
    <row r="650" spans="1:4" x14ac:dyDescent="0.35">
      <c r="A650" t="s">
        <v>73</v>
      </c>
      <c r="B650" t="s">
        <v>373</v>
      </c>
      <c r="C650" s="64" t="str">
        <f t="shared" si="6"/>
        <v>special_forces_3</v>
      </c>
      <c r="D650" s="197" t="str">
        <f ca="1">'unit calc'!A228</f>
        <v>conscript, _59</v>
      </c>
    </row>
    <row r="651" spans="1:4" x14ac:dyDescent="0.35">
      <c r="A651" t="s">
        <v>73</v>
      </c>
      <c r="B651" t="s">
        <v>373</v>
      </c>
      <c r="C651" s="64" t="s">
        <v>504</v>
      </c>
      <c r="D651" s="197" t="str">
        <f ca="1">'unit calc'!A40</f>
        <v>mmg team_75</v>
      </c>
    </row>
    <row r="652" spans="1:4" x14ac:dyDescent="0.35">
      <c r="A652" t="s">
        <v>73</v>
      </c>
      <c r="B652" t="s">
        <v>373</v>
      </c>
      <c r="C652" s="64" t="s">
        <v>504</v>
      </c>
      <c r="D652" s="197" t="str">
        <f ca="1">'unit calc'!A41</f>
        <v>hmg team_82</v>
      </c>
    </row>
    <row r="653" spans="1:4" x14ac:dyDescent="0.35">
      <c r="A653" t="s">
        <v>73</v>
      </c>
      <c r="B653" t="s">
        <v>373</v>
      </c>
      <c r="C653" s="64" t="s">
        <v>504</v>
      </c>
      <c r="D653" s="197" t="str">
        <f ca="1">'unit calc'!A42</f>
        <v>sniper_60</v>
      </c>
    </row>
    <row r="654" spans="1:4" x14ac:dyDescent="0.35">
      <c r="A654" t="s">
        <v>73</v>
      </c>
      <c r="B654" t="s">
        <v>373</v>
      </c>
      <c r="C654" s="64" t="s">
        <v>504</v>
      </c>
      <c r="D654" s="197" t="str">
        <f ca="1">'unit calc'!A43</f>
        <v>mpat team_68</v>
      </c>
    </row>
    <row r="655" spans="1:4" x14ac:dyDescent="0.35">
      <c r="A655" t="s">
        <v>73</v>
      </c>
      <c r="B655" t="s">
        <v>373</v>
      </c>
      <c r="C655" s="64" t="s">
        <v>504</v>
      </c>
      <c r="D655" s="197" t="str">
        <f ca="1">'unit calc'!A44</f>
        <v>flame thrower team_85</v>
      </c>
    </row>
    <row r="656" spans="1:4" x14ac:dyDescent="0.35">
      <c r="A656" t="s">
        <v>73</v>
      </c>
      <c r="B656" t="s">
        <v>373</v>
      </c>
      <c r="C656" s="64" t="s">
        <v>504</v>
      </c>
      <c r="D656" s="197" t="str">
        <f ca="1">'unit calc'!A45</f>
        <v>mortar team_98</v>
      </c>
    </row>
    <row r="657" spans="1:4" x14ac:dyDescent="0.35">
      <c r="A657" t="s">
        <v>73</v>
      </c>
      <c r="B657" t="s">
        <v>98</v>
      </c>
      <c r="C657" s="64" t="s">
        <v>368</v>
      </c>
      <c r="D657" s="197" t="str">
        <f ca="1">'unit calc'!A32</f>
        <v>rifle squad_250</v>
      </c>
    </row>
    <row r="658" spans="1:4" x14ac:dyDescent="0.35">
      <c r="A658" t="s">
        <v>73</v>
      </c>
      <c r="B658" t="s">
        <v>98</v>
      </c>
      <c r="C658" s="64" t="s">
        <v>368</v>
      </c>
      <c r="D658" s="197" t="str">
        <f ca="1">'unit calc'!A33</f>
        <v>assault squad_205</v>
      </c>
    </row>
    <row r="659" spans="1:4" x14ac:dyDescent="0.35">
      <c r="A659" t="s">
        <v>73</v>
      </c>
      <c r="B659" t="s">
        <v>98</v>
      </c>
      <c r="C659" s="64" t="s">
        <v>368</v>
      </c>
      <c r="D659" s="197" t="str">
        <f ca="1">'unit calc'!A34</f>
        <v>gun squad_243</v>
      </c>
    </row>
    <row r="660" spans="1:4" x14ac:dyDescent="0.35">
      <c r="A660" t="s">
        <v>73</v>
      </c>
      <c r="B660" t="s">
        <v>98</v>
      </c>
      <c r="C660" s="64" t="s">
        <v>368</v>
      </c>
      <c r="D660" s="197" t="str">
        <f ca="1">'unit calc'!A35</f>
        <v>recon squad_171</v>
      </c>
    </row>
    <row r="661" spans="1:4" x14ac:dyDescent="0.35">
      <c r="A661" t="s">
        <v>73</v>
      </c>
      <c r="B661" t="s">
        <v>98</v>
      </c>
      <c r="C661" s="64" t="s">
        <v>106</v>
      </c>
      <c r="D661" s="197" t="str">
        <f ca="1">'unit calc'!A129</f>
        <v>mortar squad_209</v>
      </c>
    </row>
    <row r="662" spans="1:4" x14ac:dyDescent="0.35">
      <c r="A662" t="s">
        <v>73</v>
      </c>
      <c r="B662" t="s">
        <v>98</v>
      </c>
      <c r="C662" s="64" t="s">
        <v>106</v>
      </c>
      <c r="D662" s="197" t="str">
        <f ca="1">'unit calc'!A130</f>
        <v>mortar x2 squad_261</v>
      </c>
    </row>
    <row r="663" spans="1:4" x14ac:dyDescent="0.35">
      <c r="A663" t="s">
        <v>73</v>
      </c>
      <c r="B663" t="s">
        <v>98</v>
      </c>
      <c r="C663" s="64" t="s">
        <v>106</v>
      </c>
      <c r="D663" s="197" t="str">
        <f ca="1">'unit calc'!A131</f>
        <v>MPAT squad_179</v>
      </c>
    </row>
    <row r="664" spans="1:4" x14ac:dyDescent="0.35">
      <c r="A664" t="s">
        <v>73</v>
      </c>
      <c r="B664" t="s">
        <v>98</v>
      </c>
      <c r="C664" s="64" t="s">
        <v>106</v>
      </c>
      <c r="D664" s="197" t="str">
        <f ca="1">'unit calc'!A132</f>
        <v>MPAT x2 squad_201</v>
      </c>
    </row>
    <row r="665" spans="1:4" x14ac:dyDescent="0.35">
      <c r="A665" t="s">
        <v>73</v>
      </c>
      <c r="B665" t="s">
        <v>98</v>
      </c>
      <c r="C665" s="64" t="s">
        <v>106</v>
      </c>
      <c r="D665" s="197" t="str">
        <f ca="1">'unit calc'!A133</f>
        <v>MMG squad_186</v>
      </c>
    </row>
    <row r="666" spans="1:4" x14ac:dyDescent="0.35">
      <c r="A666" t="s">
        <v>73</v>
      </c>
      <c r="B666" t="s">
        <v>98</v>
      </c>
      <c r="C666" s="64" t="s">
        <v>106</v>
      </c>
      <c r="D666" s="197" t="str">
        <f ca="1">'unit calc'!A134</f>
        <v>MMG x2 squad_215</v>
      </c>
    </row>
    <row r="667" spans="1:4" x14ac:dyDescent="0.35">
      <c r="A667" t="s">
        <v>73</v>
      </c>
      <c r="B667" t="s">
        <v>98</v>
      </c>
      <c r="C667" s="64" t="s">
        <v>106</v>
      </c>
      <c r="D667" s="197" t="str">
        <f ca="1">'unit calc'!A135</f>
        <v>MMG, HMG squad_222</v>
      </c>
    </row>
    <row r="668" spans="1:4" x14ac:dyDescent="0.35">
      <c r="A668" t="s">
        <v>73</v>
      </c>
      <c r="B668" t="s">
        <v>98</v>
      </c>
      <c r="C668" s="64" t="s">
        <v>106</v>
      </c>
      <c r="D668" s="197" t="str">
        <f ca="1">'unit calc'!A136</f>
        <v>HMG_193</v>
      </c>
    </row>
    <row r="669" spans="1:4" x14ac:dyDescent="0.35">
      <c r="A669" t="s">
        <v>73</v>
      </c>
      <c r="B669" t="s">
        <v>98</v>
      </c>
      <c r="C669" s="64" t="s">
        <v>106</v>
      </c>
      <c r="D669" s="197" t="str">
        <f ca="1">'unit calc'!A137</f>
        <v>HMG x2 squad_229</v>
      </c>
    </row>
    <row r="670" spans="1:4" x14ac:dyDescent="0.35">
      <c r="A670" t="s">
        <v>73</v>
      </c>
      <c r="B670" t="s">
        <v>98</v>
      </c>
      <c r="C670" s="64" t="s">
        <v>106</v>
      </c>
      <c r="D670" s="197" t="str">
        <f ca="1">'unit calc'!A138</f>
        <v>flame squad_196</v>
      </c>
    </row>
    <row r="671" spans="1:4" x14ac:dyDescent="0.35">
      <c r="A671" t="s">
        <v>73</v>
      </c>
      <c r="B671" t="s">
        <v>98</v>
      </c>
      <c r="C671" s="64" t="s">
        <v>106</v>
      </c>
      <c r="D671" s="197" t="str">
        <f ca="1">'unit calc'!A139</f>
        <v>FLAME x2 squad_235</v>
      </c>
    </row>
    <row r="672" spans="1:4" x14ac:dyDescent="0.35">
      <c r="A672" t="s">
        <v>73</v>
      </c>
      <c r="B672" t="s">
        <v>98</v>
      </c>
      <c r="C672" s="64" t="s">
        <v>106</v>
      </c>
      <c r="D672" s="197" t="str">
        <f ca="1">'unit calc'!A140</f>
        <v>marksman squad_184</v>
      </c>
    </row>
    <row r="673" spans="1:4" x14ac:dyDescent="0.35">
      <c r="A673" t="s">
        <v>73</v>
      </c>
      <c r="B673" t="s">
        <v>98</v>
      </c>
      <c r="C673" s="64" t="s">
        <v>106</v>
      </c>
      <c r="D673" s="197" t="str">
        <f ca="1">'unit calc'!A141</f>
        <v>marksman x2 squad_211</v>
      </c>
    </row>
    <row r="674" spans="1:4" x14ac:dyDescent="0.35">
      <c r="A674" t="s">
        <v>73</v>
      </c>
      <c r="B674" t="s">
        <v>98</v>
      </c>
      <c r="C674" s="64" t="str">
        <f>G5</f>
        <v>special_forces_1</v>
      </c>
      <c r="D674" s="197" t="str">
        <f ca="1">'unit calc'!A226</f>
        <v>experienced, _72</v>
      </c>
    </row>
    <row r="675" spans="1:4" x14ac:dyDescent="0.35">
      <c r="A675" t="s">
        <v>73</v>
      </c>
      <c r="B675" t="s">
        <v>98</v>
      </c>
      <c r="C675" s="64" t="str">
        <f t="shared" ref="C675:C676" si="7">G6</f>
        <v>special_forces_2</v>
      </c>
      <c r="D675" s="197" t="str">
        <f ca="1">'unit calc'!A227</f>
        <v>experienced, _72</v>
      </c>
    </row>
    <row r="676" spans="1:4" x14ac:dyDescent="0.35">
      <c r="A676" t="s">
        <v>73</v>
      </c>
      <c r="B676" t="s">
        <v>98</v>
      </c>
      <c r="C676" s="64" t="str">
        <f t="shared" si="7"/>
        <v>special_forces_3</v>
      </c>
      <c r="D676" s="197" t="str">
        <f ca="1">'unit calc'!A228</f>
        <v>conscript, _59</v>
      </c>
    </row>
    <row r="677" spans="1:4" x14ac:dyDescent="0.35">
      <c r="A677" t="s">
        <v>73</v>
      </c>
      <c r="B677" t="s">
        <v>98</v>
      </c>
      <c r="C677" s="64" t="s">
        <v>504</v>
      </c>
      <c r="D677" s="197" t="str">
        <f ca="1">'unit calc'!A40</f>
        <v>mmg team_75</v>
      </c>
    </row>
    <row r="678" spans="1:4" x14ac:dyDescent="0.35">
      <c r="A678" t="s">
        <v>73</v>
      </c>
      <c r="B678" t="s">
        <v>98</v>
      </c>
      <c r="C678" s="64" t="s">
        <v>504</v>
      </c>
      <c r="D678" s="197" t="str">
        <f ca="1">'unit calc'!A41</f>
        <v>hmg team_82</v>
      </c>
    </row>
    <row r="679" spans="1:4" x14ac:dyDescent="0.35">
      <c r="A679" t="s">
        <v>73</v>
      </c>
      <c r="B679" t="s">
        <v>98</v>
      </c>
      <c r="C679" s="64" t="s">
        <v>504</v>
      </c>
      <c r="D679" s="197" t="str">
        <f ca="1">'unit calc'!A42</f>
        <v>sniper_60</v>
      </c>
    </row>
    <row r="680" spans="1:4" x14ac:dyDescent="0.35">
      <c r="A680" t="s">
        <v>73</v>
      </c>
      <c r="B680" t="s">
        <v>98</v>
      </c>
      <c r="C680" s="64" t="s">
        <v>504</v>
      </c>
      <c r="D680" s="197" t="str">
        <f ca="1">'unit calc'!A43</f>
        <v>mpat team_68</v>
      </c>
    </row>
    <row r="681" spans="1:4" x14ac:dyDescent="0.35">
      <c r="A681" t="s">
        <v>73</v>
      </c>
      <c r="B681" t="s">
        <v>98</v>
      </c>
      <c r="C681" s="64" t="s">
        <v>504</v>
      </c>
      <c r="D681" s="197" t="str">
        <f ca="1">'unit calc'!A44</f>
        <v>flame thrower team_85</v>
      </c>
    </row>
    <row r="682" spans="1:4" x14ac:dyDescent="0.35">
      <c r="A682" t="s">
        <v>73</v>
      </c>
      <c r="B682" t="s">
        <v>98</v>
      </c>
      <c r="C682" s="64" t="s">
        <v>504</v>
      </c>
      <c r="D682" s="197" t="str">
        <f ca="1">'unit calc'!A45</f>
        <v>mortar team_98</v>
      </c>
    </row>
    <row r="683" spans="1:4" x14ac:dyDescent="0.35">
      <c r="A683" t="s">
        <v>73</v>
      </c>
      <c r="B683" t="s">
        <v>98</v>
      </c>
      <c r="C683" t="str">
        <f>I3</f>
        <v>feild_gun</v>
      </c>
      <c r="D683" s="197" t="str">
        <f ca="1">'unit calc'!A189</f>
        <v>20mm flak 30/38_48</v>
      </c>
    </row>
    <row r="684" spans="1:4" x14ac:dyDescent="0.35">
      <c r="A684" t="s">
        <v>73</v>
      </c>
      <c r="B684" t="s">
        <v>98</v>
      </c>
      <c r="C684" t="str">
        <f>I3</f>
        <v>feild_gun</v>
      </c>
      <c r="D684" s="197" t="str">
        <f ca="1">'unit calc'!A190</f>
        <v>37mm bofors_32</v>
      </c>
    </row>
    <row r="685" spans="1:4" x14ac:dyDescent="0.35">
      <c r="A685" t="s">
        <v>73</v>
      </c>
      <c r="B685" t="s">
        <v>98</v>
      </c>
      <c r="C685" t="str">
        <f>I3</f>
        <v>feild_gun</v>
      </c>
      <c r="D685" s="197" t="str">
        <f ca="1">'unit calc'!A191</f>
        <v>45mm m1932_42</v>
      </c>
    </row>
    <row r="686" spans="1:4" x14ac:dyDescent="0.35">
      <c r="A686" t="s">
        <v>73</v>
      </c>
      <c r="B686" t="s">
        <v>98</v>
      </c>
      <c r="C686" t="str">
        <f>I3</f>
        <v>feild_gun</v>
      </c>
      <c r="D686" s="197" t="str">
        <f ca="1">'unit calc'!A192</f>
        <v>75mm pak 40_102</v>
      </c>
    </row>
    <row r="687" spans="1:4" x14ac:dyDescent="0.35">
      <c r="A687" t="s">
        <v>73</v>
      </c>
      <c r="B687" t="s">
        <v>98</v>
      </c>
      <c r="C687" t="str">
        <f>I3</f>
        <v>feild_gun</v>
      </c>
      <c r="D687" s="197" t="str">
        <f ca="1">'unit calc'!A183</f>
        <v>76.2mm Zis-3_84</v>
      </c>
    </row>
    <row r="688" spans="1:4" x14ac:dyDescent="0.35">
      <c r="A688" t="s">
        <v>73</v>
      </c>
      <c r="B688" t="s">
        <v>98</v>
      </c>
      <c r="C688" t="str">
        <f>I3</f>
        <v>feild_gun</v>
      </c>
      <c r="D688" s="197" t="str">
        <f ca="1">'unit calc'!A185</f>
        <v>100mm BS-3_144</v>
      </c>
    </row>
    <row r="689" spans="1:4" x14ac:dyDescent="0.35">
      <c r="A689" t="s">
        <v>73</v>
      </c>
      <c r="B689" t="s">
        <v>98</v>
      </c>
      <c r="C689" s="13" t="s">
        <v>365</v>
      </c>
      <c r="D689" s="197" t="str">
        <f ca="1">'unit calc'!A219</f>
        <v>20mm flak 30/38_152</v>
      </c>
    </row>
    <row r="690" spans="1:4" x14ac:dyDescent="0.35">
      <c r="A690" t="s">
        <v>73</v>
      </c>
      <c r="B690" t="s">
        <v>98</v>
      </c>
      <c r="C690" s="13" t="s">
        <v>365</v>
      </c>
      <c r="D690" s="197" t="str">
        <f ca="1">'unit calc'!A220</f>
        <v>37mm bofors_136</v>
      </c>
    </row>
    <row r="691" spans="1:4" x14ac:dyDescent="0.35">
      <c r="A691" t="s">
        <v>73</v>
      </c>
      <c r="B691" t="s">
        <v>98</v>
      </c>
      <c r="C691" s="13" t="s">
        <v>365</v>
      </c>
      <c r="D691" s="197" t="str">
        <f ca="1">'unit calc'!A221</f>
        <v>45mm m1932_146</v>
      </c>
    </row>
    <row r="692" spans="1:4" x14ac:dyDescent="0.35">
      <c r="A692" t="s">
        <v>73</v>
      </c>
      <c r="B692" t="s">
        <v>98</v>
      </c>
      <c r="C692" s="13" t="s">
        <v>365</v>
      </c>
      <c r="D692" s="197" t="str">
        <f ca="1">'unit calc'!A222</f>
        <v>75mm pak 40_219</v>
      </c>
    </row>
    <row r="693" spans="1:4" x14ac:dyDescent="0.35">
      <c r="A693" t="s">
        <v>73</v>
      </c>
      <c r="B693" t="s">
        <v>98</v>
      </c>
      <c r="C693" s="13" t="s">
        <v>365</v>
      </c>
      <c r="D693" s="197" t="str">
        <f ca="1">'unit calc'!A213</f>
        <v>76.2mm Zis-3_201</v>
      </c>
    </row>
    <row r="694" spans="1:4" x14ac:dyDescent="0.35">
      <c r="A694" t="s">
        <v>73</v>
      </c>
      <c r="B694" t="s">
        <v>98</v>
      </c>
      <c r="C694" s="13" t="s">
        <v>365</v>
      </c>
      <c r="D694" s="197" t="str">
        <f ca="1">'unit calc'!A215</f>
        <v>100mm BS-3_261</v>
      </c>
    </row>
    <row r="695" spans="1:4" x14ac:dyDescent="0.35">
      <c r="A695" t="s">
        <v>73</v>
      </c>
      <c r="B695" t="s">
        <v>98</v>
      </c>
      <c r="C695" s="13" t="s">
        <v>50</v>
      </c>
      <c r="D695" s="197" t="str">
        <f ca="1">'unit calc'!A57</f>
        <v>jeep_16</v>
      </c>
    </row>
    <row r="696" spans="1:4" x14ac:dyDescent="0.35">
      <c r="A696" t="s">
        <v>73</v>
      </c>
      <c r="B696" t="s">
        <v>98</v>
      </c>
      <c r="C696" s="13" t="s">
        <v>50</v>
      </c>
      <c r="D696" s="197" t="str">
        <f ca="1">'unit calc'!A58</f>
        <v>truck_34</v>
      </c>
    </row>
    <row r="697" spans="1:4" x14ac:dyDescent="0.35">
      <c r="A697" t="s">
        <v>73</v>
      </c>
      <c r="B697" t="s">
        <v>98</v>
      </c>
      <c r="C697" s="13" t="s">
        <v>50</v>
      </c>
      <c r="D697" s="197" t="str">
        <f ca="1">'unit calc'!A60</f>
        <v>armoured car_95</v>
      </c>
    </row>
    <row r="698" spans="1:4" x14ac:dyDescent="0.35">
      <c r="A698" t="s">
        <v>73</v>
      </c>
      <c r="B698" t="s">
        <v>98</v>
      </c>
      <c r="C698" s="13" t="s">
        <v>50</v>
      </c>
      <c r="D698" s="197" t="str">
        <f ca="1">'unit calc'!A61</f>
        <v>half track_89</v>
      </c>
    </row>
    <row r="699" spans="1:4" x14ac:dyDescent="0.35">
      <c r="A699" t="s">
        <v>73</v>
      </c>
      <c r="B699" t="s">
        <v>98</v>
      </c>
      <c r="C699" s="64" t="s">
        <v>374</v>
      </c>
      <c r="D699" s="197" t="str">
        <f ca="1">'unit calc'!A69</f>
        <v>BT-7_175</v>
      </c>
    </row>
    <row r="700" spans="1:4" x14ac:dyDescent="0.35">
      <c r="A700" t="s">
        <v>73</v>
      </c>
      <c r="B700" t="s">
        <v>98</v>
      </c>
      <c r="C700" s="64" t="s">
        <v>374</v>
      </c>
      <c r="D700" s="197" t="str">
        <f ca="1">'unit calc'!A70</f>
        <v>BT-42 HOW_265</v>
      </c>
    </row>
    <row r="701" spans="1:4" x14ac:dyDescent="0.35">
      <c r="A701" t="s">
        <v>73</v>
      </c>
      <c r="B701" t="s">
        <v>98</v>
      </c>
      <c r="C701" s="64" t="s">
        <v>374</v>
      </c>
      <c r="D701" s="197" t="str">
        <f ca="1">'unit calc'!A77</f>
        <v>Panzer III J_275</v>
      </c>
    </row>
    <row r="702" spans="1:4" x14ac:dyDescent="0.35">
      <c r="A702" t="s">
        <v>73</v>
      </c>
      <c r="B702" t="s">
        <v>98</v>
      </c>
      <c r="C702" s="64" t="s">
        <v>374</v>
      </c>
      <c r="D702" s="197" t="str">
        <f ca="1">'unit calc'!A83</f>
        <v>StuG III F_380</v>
      </c>
    </row>
    <row r="703" spans="1:4" x14ac:dyDescent="0.35">
      <c r="A703" t="s">
        <v>73</v>
      </c>
      <c r="B703" t="s">
        <v>98</v>
      </c>
      <c r="C703" s="64" t="s">
        <v>374</v>
      </c>
      <c r="D703" s="197" t="str">
        <f ca="1">'unit calc'!A88</f>
        <v>T34-85_305</v>
      </c>
    </row>
    <row r="704" spans="1:4" x14ac:dyDescent="0.35">
      <c r="A704" t="s">
        <v>73</v>
      </c>
      <c r="B704" t="s">
        <v>98</v>
      </c>
      <c r="C704" s="64" t="s">
        <v>374</v>
      </c>
      <c r="D704" s="197" t="str">
        <f ca="1">'unit calc'!A89</f>
        <v>Panzer IV F2_470</v>
      </c>
    </row>
    <row r="705" spans="1:4" x14ac:dyDescent="0.35">
      <c r="A705" t="s">
        <v>73</v>
      </c>
      <c r="B705" t="s">
        <v>98</v>
      </c>
      <c r="C705" s="64" t="s">
        <v>374</v>
      </c>
      <c r="D705" s="197" t="str">
        <f ca="1">'unit calc'!A90</f>
        <v>T34_275</v>
      </c>
    </row>
    <row r="706" spans="1:4" x14ac:dyDescent="0.35">
      <c r="A706" t="s">
        <v>73</v>
      </c>
      <c r="B706" t="s">
        <v>98</v>
      </c>
      <c r="C706" s="64" t="s">
        <v>374</v>
      </c>
      <c r="D706" s="197" t="str">
        <f ca="1">'unit calc'!A99</f>
        <v>KV-1b_795</v>
      </c>
    </row>
    <row r="707" spans="1:4" x14ac:dyDescent="0.35">
      <c r="A707" t="s">
        <v>73</v>
      </c>
      <c r="B707" t="s">
        <v>98</v>
      </c>
      <c r="C707" s="64" t="s">
        <v>374</v>
      </c>
      <c r="D707" s="197" t="str">
        <f ca="1">'unit calc'!A100</f>
        <v>IS-2_970</v>
      </c>
    </row>
    <row r="708" spans="1:4" x14ac:dyDescent="0.35">
      <c r="A708" t="s">
        <v>73</v>
      </c>
      <c r="B708" t="s">
        <v>17</v>
      </c>
      <c r="C708" s="64" t="s">
        <v>89</v>
      </c>
      <c r="D708" s="197" t="str">
        <f ca="1">'unit calc'!A69</f>
        <v>BT-7_175</v>
      </c>
    </row>
    <row r="709" spans="1:4" x14ac:dyDescent="0.35">
      <c r="A709" t="s">
        <v>73</v>
      </c>
      <c r="B709" t="s">
        <v>17</v>
      </c>
      <c r="C709" s="64" t="s">
        <v>89</v>
      </c>
      <c r="D709" s="197" t="str">
        <f ca="1">'unit calc'!A70</f>
        <v>BT-42 HOW_265</v>
      </c>
    </row>
    <row r="710" spans="1:4" x14ac:dyDescent="0.35">
      <c r="A710" t="s">
        <v>73</v>
      </c>
      <c r="B710" t="s">
        <v>17</v>
      </c>
      <c r="C710" s="64" t="s">
        <v>89</v>
      </c>
      <c r="D710" s="197" t="str">
        <f ca="1">'unit calc'!A77</f>
        <v>Panzer III J_275</v>
      </c>
    </row>
    <row r="711" spans="1:4" x14ac:dyDescent="0.35">
      <c r="A711" t="s">
        <v>73</v>
      </c>
      <c r="B711" t="s">
        <v>17</v>
      </c>
      <c r="C711" s="64" t="s">
        <v>89</v>
      </c>
      <c r="D711" s="197" t="str">
        <f ca="1">'unit calc'!A83</f>
        <v>StuG III F_380</v>
      </c>
    </row>
    <row r="712" spans="1:4" x14ac:dyDescent="0.35">
      <c r="A712" t="s">
        <v>73</v>
      </c>
      <c r="B712" t="s">
        <v>17</v>
      </c>
      <c r="C712" s="64" t="s">
        <v>89</v>
      </c>
      <c r="D712" s="197" t="str">
        <f ca="1">'unit calc'!A89</f>
        <v>Panzer IV F2_470</v>
      </c>
    </row>
    <row r="713" spans="1:4" x14ac:dyDescent="0.35">
      <c r="A713" t="s">
        <v>73</v>
      </c>
      <c r="B713" t="s">
        <v>17</v>
      </c>
      <c r="C713" s="64" t="s">
        <v>89</v>
      </c>
      <c r="D713" s="197" t="str">
        <f ca="1">'unit calc'!A99</f>
        <v>KV-1b_795</v>
      </c>
    </row>
    <row r="714" spans="1:4" x14ac:dyDescent="0.35">
      <c r="A714" t="s">
        <v>73</v>
      </c>
      <c r="B714" t="s">
        <v>17</v>
      </c>
      <c r="C714" s="64" t="s">
        <v>89</v>
      </c>
      <c r="D714" s="197" t="str">
        <f ca="1">'unit calc'!A100</f>
        <v>IS-2_970</v>
      </c>
    </row>
    <row r="715" spans="1:4" x14ac:dyDescent="0.35">
      <c r="A715" t="s">
        <v>73</v>
      </c>
      <c r="B715" t="s">
        <v>17</v>
      </c>
      <c r="C715" s="64" t="s">
        <v>89</v>
      </c>
      <c r="D715" s="197" t="str">
        <f ca="1">'unit calc'!A90</f>
        <v>T34_275</v>
      </c>
    </row>
    <row r="716" spans="1:4" x14ac:dyDescent="0.35">
      <c r="A716" t="s">
        <v>73</v>
      </c>
      <c r="B716" t="s">
        <v>17</v>
      </c>
      <c r="C716" s="64" t="s">
        <v>89</v>
      </c>
      <c r="D716" s="197" t="str">
        <f ca="1">'unit calc'!A88</f>
        <v>T34-85_305</v>
      </c>
    </row>
    <row r="717" spans="1:4" x14ac:dyDescent="0.35">
      <c r="A717" t="s">
        <v>73</v>
      </c>
      <c r="B717" t="s">
        <v>17</v>
      </c>
      <c r="C717" s="64" t="s">
        <v>374</v>
      </c>
      <c r="D717" s="197" t="str">
        <f ca="1">'unit calc'!A69</f>
        <v>BT-7_175</v>
      </c>
    </row>
    <row r="718" spans="1:4" x14ac:dyDescent="0.35">
      <c r="A718" t="s">
        <v>73</v>
      </c>
      <c r="B718" t="s">
        <v>17</v>
      </c>
      <c r="C718" s="64" t="s">
        <v>374</v>
      </c>
      <c r="D718" s="197" t="str">
        <f ca="1">'unit calc'!A70</f>
        <v>BT-42 HOW_265</v>
      </c>
    </row>
    <row r="719" spans="1:4" x14ac:dyDescent="0.35">
      <c r="A719" t="s">
        <v>73</v>
      </c>
      <c r="B719" t="s">
        <v>17</v>
      </c>
      <c r="C719" s="64" t="s">
        <v>374</v>
      </c>
      <c r="D719" s="197" t="str">
        <f ca="1">'unit calc'!A77</f>
        <v>Panzer III J_275</v>
      </c>
    </row>
    <row r="720" spans="1:4" x14ac:dyDescent="0.35">
      <c r="A720" t="s">
        <v>73</v>
      </c>
      <c r="B720" t="s">
        <v>17</v>
      </c>
      <c r="C720" s="64" t="s">
        <v>374</v>
      </c>
      <c r="D720" s="197" t="str">
        <f ca="1">'unit calc'!A83</f>
        <v>StuG III F_380</v>
      </c>
    </row>
    <row r="721" spans="1:4" x14ac:dyDescent="0.35">
      <c r="A721" t="s">
        <v>73</v>
      </c>
      <c r="B721" t="s">
        <v>17</v>
      </c>
      <c r="C721" s="64" t="s">
        <v>374</v>
      </c>
      <c r="D721" s="197" t="str">
        <f ca="1">'unit calc'!A88</f>
        <v>T34-85_305</v>
      </c>
    </row>
    <row r="722" spans="1:4" x14ac:dyDescent="0.35">
      <c r="A722" t="s">
        <v>73</v>
      </c>
      <c r="B722" t="s">
        <v>17</v>
      </c>
      <c r="C722" s="64" t="s">
        <v>374</v>
      </c>
      <c r="D722" s="197" t="str">
        <f ca="1">'unit calc'!A89</f>
        <v>Panzer IV F2_470</v>
      </c>
    </row>
    <row r="723" spans="1:4" x14ac:dyDescent="0.35">
      <c r="A723" t="s">
        <v>73</v>
      </c>
      <c r="B723" t="s">
        <v>17</v>
      </c>
      <c r="C723" s="64" t="s">
        <v>374</v>
      </c>
      <c r="D723" s="197" t="str">
        <f ca="1">'unit calc'!A90</f>
        <v>T34_275</v>
      </c>
    </row>
    <row r="724" spans="1:4" x14ac:dyDescent="0.35">
      <c r="A724" t="s">
        <v>73</v>
      </c>
      <c r="B724" t="s">
        <v>17</v>
      </c>
      <c r="C724" s="64" t="s">
        <v>374</v>
      </c>
      <c r="D724" s="197" t="str">
        <f ca="1">'unit calc'!A99</f>
        <v>KV-1b_795</v>
      </c>
    </row>
    <row r="725" spans="1:4" x14ac:dyDescent="0.35">
      <c r="A725" t="s">
        <v>73</v>
      </c>
      <c r="B725" t="s">
        <v>17</v>
      </c>
      <c r="C725" s="64" t="s">
        <v>374</v>
      </c>
      <c r="D725" s="197" t="str">
        <f ca="1">'unit calc'!A100</f>
        <v>IS-2_970</v>
      </c>
    </row>
    <row r="726" spans="1:4" x14ac:dyDescent="0.35">
      <c r="A726" t="s">
        <v>165</v>
      </c>
      <c r="B726" t="s">
        <v>86</v>
      </c>
      <c r="C726" s="64" t="s">
        <v>368</v>
      </c>
      <c r="D726" s="197" t="str">
        <f ca="1">'unit calc'!A32</f>
        <v>rifle squad_250</v>
      </c>
    </row>
    <row r="727" spans="1:4" x14ac:dyDescent="0.35">
      <c r="A727" t="s">
        <v>165</v>
      </c>
      <c r="B727" t="s">
        <v>86</v>
      </c>
      <c r="C727" s="64" t="s">
        <v>368</v>
      </c>
      <c r="D727" s="197" t="str">
        <f ca="1">'unit calc'!A33</f>
        <v>assault squad_205</v>
      </c>
    </row>
    <row r="728" spans="1:4" x14ac:dyDescent="0.35">
      <c r="A728" t="s">
        <v>165</v>
      </c>
      <c r="B728" t="s">
        <v>86</v>
      </c>
      <c r="C728" s="64" t="s">
        <v>368</v>
      </c>
      <c r="D728" s="197" t="str">
        <f ca="1">'unit calc'!A34</f>
        <v>gun squad_243</v>
      </c>
    </row>
    <row r="729" spans="1:4" x14ac:dyDescent="0.35">
      <c r="A729" t="s">
        <v>165</v>
      </c>
      <c r="B729" t="s">
        <v>86</v>
      </c>
      <c r="C729" s="64" t="s">
        <v>368</v>
      </c>
      <c r="D729" s="197" t="str">
        <f ca="1">'unit calc'!A35</f>
        <v>recon squad_171</v>
      </c>
    </row>
    <row r="730" spans="1:4" x14ac:dyDescent="0.35">
      <c r="A730" t="s">
        <v>165</v>
      </c>
      <c r="B730" t="s">
        <v>86</v>
      </c>
      <c r="C730" s="64" t="s">
        <v>106</v>
      </c>
      <c r="D730" s="197" t="str">
        <f ca="1">'unit calc'!A129</f>
        <v>mortar squad_209</v>
      </c>
    </row>
    <row r="731" spans="1:4" x14ac:dyDescent="0.35">
      <c r="A731" t="s">
        <v>165</v>
      </c>
      <c r="B731" t="s">
        <v>86</v>
      </c>
      <c r="C731" s="64" t="s">
        <v>106</v>
      </c>
      <c r="D731" s="197" t="str">
        <f ca="1">'unit calc'!A130</f>
        <v>mortar x2 squad_261</v>
      </c>
    </row>
    <row r="732" spans="1:4" x14ac:dyDescent="0.35">
      <c r="A732" t="s">
        <v>165</v>
      </c>
      <c r="B732" t="s">
        <v>86</v>
      </c>
      <c r="C732" s="64" t="s">
        <v>106</v>
      </c>
      <c r="D732" s="197" t="str">
        <f ca="1">'unit calc'!A131</f>
        <v>MPAT squad_179</v>
      </c>
    </row>
    <row r="733" spans="1:4" x14ac:dyDescent="0.35">
      <c r="A733" t="s">
        <v>165</v>
      </c>
      <c r="B733" t="s">
        <v>86</v>
      </c>
      <c r="C733" s="64" t="s">
        <v>106</v>
      </c>
      <c r="D733" s="197" t="str">
        <f ca="1">'unit calc'!A132</f>
        <v>MPAT x2 squad_201</v>
      </c>
    </row>
    <row r="734" spans="1:4" x14ac:dyDescent="0.35">
      <c r="A734" t="s">
        <v>165</v>
      </c>
      <c r="B734" t="s">
        <v>86</v>
      </c>
      <c r="C734" s="64" t="s">
        <v>106</v>
      </c>
      <c r="D734" s="197" t="str">
        <f ca="1">'unit calc'!A133</f>
        <v>MMG squad_186</v>
      </c>
    </row>
    <row r="735" spans="1:4" x14ac:dyDescent="0.35">
      <c r="A735" t="s">
        <v>165</v>
      </c>
      <c r="B735" t="s">
        <v>86</v>
      </c>
      <c r="C735" s="64" t="s">
        <v>106</v>
      </c>
      <c r="D735" s="197" t="str">
        <f ca="1">'unit calc'!A134</f>
        <v>MMG x2 squad_215</v>
      </c>
    </row>
    <row r="736" spans="1:4" x14ac:dyDescent="0.35">
      <c r="A736" t="s">
        <v>165</v>
      </c>
      <c r="B736" t="s">
        <v>86</v>
      </c>
      <c r="C736" s="64" t="s">
        <v>106</v>
      </c>
      <c r="D736" s="197" t="str">
        <f ca="1">'unit calc'!A135</f>
        <v>MMG, HMG squad_222</v>
      </c>
    </row>
    <row r="737" spans="1:4" x14ac:dyDescent="0.35">
      <c r="A737" t="s">
        <v>165</v>
      </c>
      <c r="B737" t="s">
        <v>86</v>
      </c>
      <c r="C737" s="64" t="s">
        <v>106</v>
      </c>
      <c r="D737" s="197" t="str">
        <f ca="1">'unit calc'!A136</f>
        <v>HMG_193</v>
      </c>
    </row>
    <row r="738" spans="1:4" x14ac:dyDescent="0.35">
      <c r="A738" t="s">
        <v>165</v>
      </c>
      <c r="B738" t="s">
        <v>86</v>
      </c>
      <c r="C738" s="64" t="s">
        <v>106</v>
      </c>
      <c r="D738" s="197" t="str">
        <f ca="1">'unit calc'!A137</f>
        <v>HMG x2 squad_229</v>
      </c>
    </row>
    <row r="739" spans="1:4" x14ac:dyDescent="0.35">
      <c r="A739" t="s">
        <v>165</v>
      </c>
      <c r="B739" t="s">
        <v>86</v>
      </c>
      <c r="C739" s="64" t="s">
        <v>106</v>
      </c>
      <c r="D739" s="197" t="str">
        <f ca="1">'unit calc'!A138</f>
        <v>flame squad_196</v>
      </c>
    </row>
    <row r="740" spans="1:4" x14ac:dyDescent="0.35">
      <c r="A740" t="s">
        <v>165</v>
      </c>
      <c r="B740" t="s">
        <v>86</v>
      </c>
      <c r="C740" s="64" t="s">
        <v>106</v>
      </c>
      <c r="D740" s="197" t="str">
        <f ca="1">'unit calc'!A139</f>
        <v>FLAME x2 squad_235</v>
      </c>
    </row>
    <row r="741" spans="1:4" x14ac:dyDescent="0.35">
      <c r="A741" t="s">
        <v>165</v>
      </c>
      <c r="B741" t="s">
        <v>86</v>
      </c>
      <c r="C741" s="64" t="s">
        <v>106</v>
      </c>
      <c r="D741" s="197" t="str">
        <f ca="1">'unit calc'!A140</f>
        <v>marksman squad_184</v>
      </c>
    </row>
    <row r="742" spans="1:4" x14ac:dyDescent="0.35">
      <c r="A742" t="s">
        <v>165</v>
      </c>
      <c r="B742" t="s">
        <v>86</v>
      </c>
      <c r="C742" s="64" t="s">
        <v>106</v>
      </c>
      <c r="D742" s="197" t="str">
        <f ca="1">'unit calc'!A141</f>
        <v>marksman x2 squad_211</v>
      </c>
    </row>
    <row r="743" spans="1:4" x14ac:dyDescent="0.35">
      <c r="A743" t="s">
        <v>165</v>
      </c>
      <c r="B743" t="s">
        <v>86</v>
      </c>
      <c r="C743" s="64" t="str">
        <f>G5</f>
        <v>special_forces_1</v>
      </c>
      <c r="D743" s="197" t="str">
        <f ca="1">'unit calc'!A226</f>
        <v>experienced, _72</v>
      </c>
    </row>
    <row r="744" spans="1:4" x14ac:dyDescent="0.35">
      <c r="A744" t="s">
        <v>165</v>
      </c>
      <c r="B744" t="s">
        <v>86</v>
      </c>
      <c r="C744" s="64" t="str">
        <f>G6</f>
        <v>special_forces_2</v>
      </c>
      <c r="D744" s="197" t="str">
        <f ca="1">'unit calc'!A227</f>
        <v>experienced, _72</v>
      </c>
    </row>
    <row r="745" spans="1:4" x14ac:dyDescent="0.35">
      <c r="A745" t="s">
        <v>165</v>
      </c>
      <c r="B745" t="s">
        <v>86</v>
      </c>
      <c r="C745" s="64" t="s">
        <v>504</v>
      </c>
      <c r="D745" s="197" t="str">
        <f ca="1">'unit calc'!A40</f>
        <v>mmg team_75</v>
      </c>
    </row>
    <row r="746" spans="1:4" x14ac:dyDescent="0.35">
      <c r="A746" t="s">
        <v>165</v>
      </c>
      <c r="B746" t="s">
        <v>86</v>
      </c>
      <c r="C746" s="64" t="s">
        <v>504</v>
      </c>
      <c r="D746" s="197" t="str">
        <f ca="1">'unit calc'!A41</f>
        <v>hmg team_82</v>
      </c>
    </row>
    <row r="747" spans="1:4" x14ac:dyDescent="0.35">
      <c r="A747" t="s">
        <v>165</v>
      </c>
      <c r="B747" t="s">
        <v>86</v>
      </c>
      <c r="C747" s="64" t="s">
        <v>504</v>
      </c>
      <c r="D747" s="197" t="str">
        <f ca="1">'unit calc'!A42</f>
        <v>sniper_60</v>
      </c>
    </row>
    <row r="748" spans="1:4" x14ac:dyDescent="0.35">
      <c r="A748" t="s">
        <v>165</v>
      </c>
      <c r="B748" t="s">
        <v>86</v>
      </c>
      <c r="C748" s="64" t="s">
        <v>504</v>
      </c>
      <c r="D748" s="197" t="str">
        <f ca="1">'unit calc'!A43</f>
        <v>mpat team_68</v>
      </c>
    </row>
    <row r="749" spans="1:4" x14ac:dyDescent="0.35">
      <c r="A749" t="s">
        <v>165</v>
      </c>
      <c r="B749" t="s">
        <v>86</v>
      </c>
      <c r="C749" s="64" t="s">
        <v>504</v>
      </c>
      <c r="D749" s="197" t="str">
        <f ca="1">'unit calc'!A44</f>
        <v>flame thrower team_85</v>
      </c>
    </row>
    <row r="750" spans="1:4" x14ac:dyDescent="0.35">
      <c r="A750" t="s">
        <v>165</v>
      </c>
      <c r="B750" t="s">
        <v>86</v>
      </c>
      <c r="C750" s="64" t="s">
        <v>504</v>
      </c>
      <c r="D750" s="197" t="str">
        <f ca="1">'unit calc'!A45</f>
        <v>mortar team_98</v>
      </c>
    </row>
    <row r="751" spans="1:4" x14ac:dyDescent="0.35">
      <c r="A751" t="s">
        <v>165</v>
      </c>
      <c r="B751" t="s">
        <v>86</v>
      </c>
      <c r="C751" t="str">
        <f>I3</f>
        <v>feild_gun</v>
      </c>
      <c r="D751" s="197" t="str">
        <f ca="1">'unit calc'!A179</f>
        <v>25mm m1940 72-k_48</v>
      </c>
    </row>
    <row r="752" spans="1:4" x14ac:dyDescent="0.35">
      <c r="A752" t="s">
        <v>165</v>
      </c>
      <c r="B752" t="s">
        <v>86</v>
      </c>
      <c r="C752" t="str">
        <f>I3</f>
        <v>feild_gun</v>
      </c>
      <c r="D752" s="197" t="str">
        <f ca="1">'unit calc'!A180</f>
        <v>37mm M1930 1-k_32</v>
      </c>
    </row>
    <row r="753" spans="1:4" x14ac:dyDescent="0.35">
      <c r="A753" t="s">
        <v>165</v>
      </c>
      <c r="B753" t="s">
        <v>86</v>
      </c>
      <c r="C753" t="str">
        <f>I3</f>
        <v>feild_gun</v>
      </c>
      <c r="D753" s="197" t="str">
        <f ca="1">'unit calc'!A181</f>
        <v>45mm M1932_42</v>
      </c>
    </row>
    <row r="754" spans="1:4" x14ac:dyDescent="0.35">
      <c r="A754" t="s">
        <v>165</v>
      </c>
      <c r="B754" t="s">
        <v>86</v>
      </c>
      <c r="C754" t="str">
        <f>I3</f>
        <v>feild_gun</v>
      </c>
      <c r="D754" s="197" t="str">
        <f ca="1">'unit calc'!A182</f>
        <v>57mm ZiS-2_54</v>
      </c>
    </row>
    <row r="755" spans="1:4" x14ac:dyDescent="0.35">
      <c r="A755" t="s">
        <v>165</v>
      </c>
      <c r="B755" t="s">
        <v>86</v>
      </c>
      <c r="C755" t="str">
        <f>I3</f>
        <v>feild_gun</v>
      </c>
      <c r="D755" s="197" t="str">
        <f ca="1">'unit calc'!A183</f>
        <v>76.2mm Zis-3_84</v>
      </c>
    </row>
    <row r="756" spans="1:4" x14ac:dyDescent="0.35">
      <c r="A756" t="s">
        <v>165</v>
      </c>
      <c r="B756" t="s">
        <v>86</v>
      </c>
      <c r="C756" t="str">
        <f>I3</f>
        <v>feild_gun</v>
      </c>
      <c r="D756" s="197" t="str">
        <f ca="1">'unit calc'!A184</f>
        <v>85mm D-44_122</v>
      </c>
    </row>
    <row r="757" spans="1:4" x14ac:dyDescent="0.35">
      <c r="A757" t="s">
        <v>165</v>
      </c>
      <c r="B757" t="s">
        <v>86</v>
      </c>
      <c r="C757" t="str">
        <f>I3</f>
        <v>feild_gun</v>
      </c>
      <c r="D757" s="197" t="str">
        <f ca="1">'unit calc'!A185</f>
        <v>100mm BS-3_144</v>
      </c>
    </row>
    <row r="758" spans="1:4" x14ac:dyDescent="0.35">
      <c r="A758" t="s">
        <v>165</v>
      </c>
      <c r="B758" t="s">
        <v>86</v>
      </c>
      <c r="C758" s="13" t="s">
        <v>365</v>
      </c>
      <c r="D758" s="197" t="str">
        <f ca="1">'unit calc'!A209</f>
        <v>25mm m1940 72-k_165</v>
      </c>
    </row>
    <row r="759" spans="1:4" x14ac:dyDescent="0.35">
      <c r="A759" t="s">
        <v>165</v>
      </c>
      <c r="B759" t="s">
        <v>86</v>
      </c>
      <c r="C759" s="13" t="s">
        <v>365</v>
      </c>
      <c r="D759" s="197" t="str">
        <f ca="1">'unit calc'!A210</f>
        <v>37mm M1930 1-k_136</v>
      </c>
    </row>
    <row r="760" spans="1:4" x14ac:dyDescent="0.35">
      <c r="A760" t="s">
        <v>165</v>
      </c>
      <c r="B760" t="s">
        <v>86</v>
      </c>
      <c r="C760" s="13" t="s">
        <v>365</v>
      </c>
      <c r="D760" s="197" t="str">
        <f ca="1">'unit calc'!A211</f>
        <v>45mm M1932_146</v>
      </c>
    </row>
    <row r="761" spans="1:4" x14ac:dyDescent="0.35">
      <c r="A761" t="s">
        <v>165</v>
      </c>
      <c r="B761" t="s">
        <v>86</v>
      </c>
      <c r="C761" s="13" t="s">
        <v>365</v>
      </c>
      <c r="D761" s="197" t="str">
        <f ca="1">'unit calc'!A212</f>
        <v>57mm ZiS-2_171</v>
      </c>
    </row>
    <row r="762" spans="1:4" x14ac:dyDescent="0.35">
      <c r="A762" t="s">
        <v>165</v>
      </c>
      <c r="B762" t="s">
        <v>86</v>
      </c>
      <c r="C762" s="13" t="s">
        <v>365</v>
      </c>
      <c r="D762" s="197" t="str">
        <f ca="1">'unit calc'!A213</f>
        <v>76.2mm Zis-3_201</v>
      </c>
    </row>
    <row r="763" spans="1:4" x14ac:dyDescent="0.35">
      <c r="A763" t="s">
        <v>165</v>
      </c>
      <c r="B763" t="s">
        <v>86</v>
      </c>
      <c r="C763" s="13" t="s">
        <v>365</v>
      </c>
      <c r="D763" s="197" t="str">
        <f ca="1">'unit calc'!A214</f>
        <v>85mm D-44_239</v>
      </c>
    </row>
    <row r="764" spans="1:4" x14ac:dyDescent="0.35">
      <c r="A764" t="s">
        <v>165</v>
      </c>
      <c r="B764" t="s">
        <v>86</v>
      </c>
      <c r="C764" s="13" t="s">
        <v>365</v>
      </c>
      <c r="D764" s="197" t="str">
        <f ca="1">'unit calc'!A215</f>
        <v>100mm BS-3_261</v>
      </c>
    </row>
    <row r="765" spans="1:4" x14ac:dyDescent="0.35">
      <c r="A765" t="s">
        <v>165</v>
      </c>
      <c r="B765" t="s">
        <v>86</v>
      </c>
      <c r="C765" s="13" t="s">
        <v>50</v>
      </c>
      <c r="D765" s="197" t="str">
        <f ca="1">'unit calc'!A57</f>
        <v>jeep_16</v>
      </c>
    </row>
    <row r="766" spans="1:4" x14ac:dyDescent="0.35">
      <c r="A766" t="s">
        <v>165</v>
      </c>
      <c r="B766" t="s">
        <v>86</v>
      </c>
      <c r="C766" s="13" t="s">
        <v>50</v>
      </c>
      <c r="D766" s="197" t="str">
        <f ca="1">'unit calc'!A58</f>
        <v>truck_34</v>
      </c>
    </row>
    <row r="767" spans="1:4" x14ac:dyDescent="0.35">
      <c r="A767" t="s">
        <v>165</v>
      </c>
      <c r="B767" t="s">
        <v>86</v>
      </c>
      <c r="C767" s="13" t="s">
        <v>50</v>
      </c>
      <c r="D767" s="197" t="str">
        <f ca="1">'unit calc'!A60</f>
        <v>armoured car_95</v>
      </c>
    </row>
    <row r="768" spans="1:4" x14ac:dyDescent="0.35">
      <c r="A768" t="s">
        <v>165</v>
      </c>
      <c r="B768" t="s">
        <v>13</v>
      </c>
      <c r="C768" s="64" t="s">
        <v>368</v>
      </c>
      <c r="D768" s="197" t="str">
        <f ca="1">'unit calc'!A32</f>
        <v>rifle squad_250</v>
      </c>
    </row>
    <row r="769" spans="1:4" x14ac:dyDescent="0.35">
      <c r="A769" t="s">
        <v>165</v>
      </c>
      <c r="B769" t="s">
        <v>13</v>
      </c>
      <c r="C769" s="64" t="s">
        <v>368</v>
      </c>
      <c r="D769" s="197" t="str">
        <f ca="1">'unit calc'!A33</f>
        <v>assault squad_205</v>
      </c>
    </row>
    <row r="770" spans="1:4" x14ac:dyDescent="0.35">
      <c r="A770" t="s">
        <v>165</v>
      </c>
      <c r="B770" t="s">
        <v>13</v>
      </c>
      <c r="C770" s="64" t="s">
        <v>368</v>
      </c>
      <c r="D770" s="197" t="str">
        <f ca="1">'unit calc'!A34</f>
        <v>gun squad_243</v>
      </c>
    </row>
    <row r="771" spans="1:4" x14ac:dyDescent="0.35">
      <c r="A771" t="s">
        <v>165</v>
      </c>
      <c r="B771" t="s">
        <v>13</v>
      </c>
      <c r="C771" s="64" t="s">
        <v>368</v>
      </c>
      <c r="D771" s="197" t="str">
        <f ca="1">'unit calc'!A35</f>
        <v>recon squad_171</v>
      </c>
    </row>
    <row r="772" spans="1:4" x14ac:dyDescent="0.35">
      <c r="A772" t="s">
        <v>165</v>
      </c>
      <c r="B772" t="s">
        <v>13</v>
      </c>
      <c r="C772" s="64" t="s">
        <v>106</v>
      </c>
      <c r="D772" s="197" t="str">
        <f ca="1">'unit calc'!A129</f>
        <v>mortar squad_209</v>
      </c>
    </row>
    <row r="773" spans="1:4" x14ac:dyDescent="0.35">
      <c r="A773" t="s">
        <v>165</v>
      </c>
      <c r="B773" t="s">
        <v>13</v>
      </c>
      <c r="C773" s="64" t="s">
        <v>106</v>
      </c>
      <c r="D773" s="197" t="str">
        <f ca="1">'unit calc'!A130</f>
        <v>mortar x2 squad_261</v>
      </c>
    </row>
    <row r="774" spans="1:4" x14ac:dyDescent="0.35">
      <c r="A774" t="s">
        <v>165</v>
      </c>
      <c r="B774" t="s">
        <v>13</v>
      </c>
      <c r="C774" s="64" t="s">
        <v>106</v>
      </c>
      <c r="D774" s="197" t="str">
        <f ca="1">'unit calc'!A131</f>
        <v>MPAT squad_179</v>
      </c>
    </row>
    <row r="775" spans="1:4" x14ac:dyDescent="0.35">
      <c r="A775" t="s">
        <v>165</v>
      </c>
      <c r="B775" t="s">
        <v>13</v>
      </c>
      <c r="C775" s="64" t="s">
        <v>106</v>
      </c>
      <c r="D775" s="197" t="str">
        <f ca="1">'unit calc'!A132</f>
        <v>MPAT x2 squad_201</v>
      </c>
    </row>
    <row r="776" spans="1:4" x14ac:dyDescent="0.35">
      <c r="A776" t="s">
        <v>165</v>
      </c>
      <c r="B776" t="s">
        <v>13</v>
      </c>
      <c r="C776" s="64" t="s">
        <v>106</v>
      </c>
      <c r="D776" s="197" t="str">
        <f ca="1">'unit calc'!A133</f>
        <v>MMG squad_186</v>
      </c>
    </row>
    <row r="777" spans="1:4" x14ac:dyDescent="0.35">
      <c r="A777" t="s">
        <v>165</v>
      </c>
      <c r="B777" t="s">
        <v>13</v>
      </c>
      <c r="C777" s="64" t="s">
        <v>106</v>
      </c>
      <c r="D777" s="197" t="str">
        <f ca="1">'unit calc'!A134</f>
        <v>MMG x2 squad_215</v>
      </c>
    </row>
    <row r="778" spans="1:4" x14ac:dyDescent="0.35">
      <c r="A778" t="s">
        <v>165</v>
      </c>
      <c r="B778" t="s">
        <v>13</v>
      </c>
      <c r="C778" s="64" t="s">
        <v>106</v>
      </c>
      <c r="D778" s="197" t="str">
        <f ca="1">'unit calc'!A135</f>
        <v>MMG, HMG squad_222</v>
      </c>
    </row>
    <row r="779" spans="1:4" x14ac:dyDescent="0.35">
      <c r="A779" t="s">
        <v>165</v>
      </c>
      <c r="B779" t="s">
        <v>13</v>
      </c>
      <c r="C779" s="64" t="s">
        <v>106</v>
      </c>
      <c r="D779" s="197" t="str">
        <f ca="1">'unit calc'!A136</f>
        <v>HMG_193</v>
      </c>
    </row>
    <row r="780" spans="1:4" x14ac:dyDescent="0.35">
      <c r="A780" t="s">
        <v>165</v>
      </c>
      <c r="B780" t="s">
        <v>13</v>
      </c>
      <c r="C780" s="64" t="s">
        <v>106</v>
      </c>
      <c r="D780" s="197" t="str">
        <f ca="1">'unit calc'!A137</f>
        <v>HMG x2 squad_229</v>
      </c>
    </row>
    <row r="781" spans="1:4" x14ac:dyDescent="0.35">
      <c r="A781" t="s">
        <v>165</v>
      </c>
      <c r="B781" t="s">
        <v>13</v>
      </c>
      <c r="C781" s="64" t="s">
        <v>106</v>
      </c>
      <c r="D781" s="197" t="str">
        <f ca="1">'unit calc'!A138</f>
        <v>flame squad_196</v>
      </c>
    </row>
    <row r="782" spans="1:4" x14ac:dyDescent="0.35">
      <c r="A782" t="s">
        <v>165</v>
      </c>
      <c r="B782" t="s">
        <v>13</v>
      </c>
      <c r="C782" s="64" t="s">
        <v>106</v>
      </c>
      <c r="D782" s="197" t="str">
        <f ca="1">'unit calc'!A139</f>
        <v>FLAME x2 squad_235</v>
      </c>
    </row>
    <row r="783" spans="1:4" x14ac:dyDescent="0.35">
      <c r="A783" t="s">
        <v>165</v>
      </c>
      <c r="B783" t="s">
        <v>13</v>
      </c>
      <c r="C783" s="64" t="s">
        <v>106</v>
      </c>
      <c r="D783" s="197" t="str">
        <f ca="1">'unit calc'!A140</f>
        <v>marksman squad_184</v>
      </c>
    </row>
    <row r="784" spans="1:4" x14ac:dyDescent="0.35">
      <c r="A784" t="s">
        <v>165</v>
      </c>
      <c r="B784" t="s">
        <v>13</v>
      </c>
      <c r="C784" s="64" t="s">
        <v>106</v>
      </c>
      <c r="D784" s="197" t="str">
        <f ca="1">'unit calc'!A141</f>
        <v>marksman x2 squad_211</v>
      </c>
    </row>
    <row r="785" spans="1:4" x14ac:dyDescent="0.35">
      <c r="A785" t="s">
        <v>165</v>
      </c>
      <c r="B785" t="s">
        <v>13</v>
      </c>
      <c r="C785" s="64" t="str">
        <f>G5</f>
        <v>special_forces_1</v>
      </c>
      <c r="D785" s="197" t="str">
        <f ca="1">'unit calc'!A226</f>
        <v>experienced, _72</v>
      </c>
    </row>
    <row r="786" spans="1:4" x14ac:dyDescent="0.35">
      <c r="A786" t="s">
        <v>165</v>
      </c>
      <c r="B786" t="s">
        <v>13</v>
      </c>
      <c r="C786" s="64" t="s">
        <v>504</v>
      </c>
      <c r="D786" s="197" t="str">
        <f ca="1">'unit calc'!A40</f>
        <v>mmg team_75</v>
      </c>
    </row>
    <row r="787" spans="1:4" x14ac:dyDescent="0.35">
      <c r="A787" t="s">
        <v>165</v>
      </c>
      <c r="B787" t="s">
        <v>13</v>
      </c>
      <c r="C787" s="64" t="s">
        <v>504</v>
      </c>
      <c r="D787" s="197" t="str">
        <f ca="1">'unit calc'!A41</f>
        <v>hmg team_82</v>
      </c>
    </row>
    <row r="788" spans="1:4" x14ac:dyDescent="0.35">
      <c r="A788" t="s">
        <v>165</v>
      </c>
      <c r="B788" t="s">
        <v>13</v>
      </c>
      <c r="C788" s="64" t="s">
        <v>504</v>
      </c>
      <c r="D788" s="197" t="str">
        <f ca="1">'unit calc'!A42</f>
        <v>sniper_60</v>
      </c>
    </row>
    <row r="789" spans="1:4" x14ac:dyDescent="0.35">
      <c r="A789" t="s">
        <v>165</v>
      </c>
      <c r="B789" t="s">
        <v>13</v>
      </c>
      <c r="C789" s="64" t="s">
        <v>504</v>
      </c>
      <c r="D789" s="197" t="str">
        <f ca="1">'unit calc'!A43</f>
        <v>mpat team_68</v>
      </c>
    </row>
    <row r="790" spans="1:4" x14ac:dyDescent="0.35">
      <c r="A790" t="s">
        <v>165</v>
      </c>
      <c r="B790" t="s">
        <v>13</v>
      </c>
      <c r="C790" s="64" t="s">
        <v>504</v>
      </c>
      <c r="D790" s="197" t="str">
        <f ca="1">'unit calc'!A44</f>
        <v>flame thrower team_85</v>
      </c>
    </row>
    <row r="791" spans="1:4" x14ac:dyDescent="0.35">
      <c r="A791" t="s">
        <v>165</v>
      </c>
      <c r="B791" t="s">
        <v>13</v>
      </c>
      <c r="C791" s="64" t="s">
        <v>504</v>
      </c>
      <c r="D791" s="197" t="str">
        <f ca="1">'unit calc'!A45</f>
        <v>mortar team_98</v>
      </c>
    </row>
    <row r="792" spans="1:4" x14ac:dyDescent="0.35">
      <c r="A792" t="s">
        <v>165</v>
      </c>
      <c r="B792" t="s">
        <v>13</v>
      </c>
      <c r="C792" t="str">
        <f>I3</f>
        <v>feild_gun</v>
      </c>
      <c r="D792" s="197" t="str">
        <f ca="1">'unit calc'!A179</f>
        <v>25mm m1940 72-k_48</v>
      </c>
    </row>
    <row r="793" spans="1:4" x14ac:dyDescent="0.35">
      <c r="A793" t="s">
        <v>165</v>
      </c>
      <c r="B793" t="s">
        <v>13</v>
      </c>
      <c r="C793" t="str">
        <f>I3</f>
        <v>feild_gun</v>
      </c>
      <c r="D793" s="197" t="str">
        <f ca="1">'unit calc'!A180</f>
        <v>37mm M1930 1-k_32</v>
      </c>
    </row>
    <row r="794" spans="1:4" x14ac:dyDescent="0.35">
      <c r="A794" t="s">
        <v>165</v>
      </c>
      <c r="B794" t="s">
        <v>13</v>
      </c>
      <c r="C794" t="str">
        <f>I3</f>
        <v>feild_gun</v>
      </c>
      <c r="D794" s="197" t="str">
        <f ca="1">'unit calc'!A181</f>
        <v>45mm M1932_42</v>
      </c>
    </row>
    <row r="795" spans="1:4" x14ac:dyDescent="0.35">
      <c r="A795" t="s">
        <v>165</v>
      </c>
      <c r="B795" t="s">
        <v>13</v>
      </c>
      <c r="C795" t="str">
        <f>I3</f>
        <v>feild_gun</v>
      </c>
      <c r="D795" s="197" t="str">
        <f ca="1">'unit calc'!A182</f>
        <v>57mm ZiS-2_54</v>
      </c>
    </row>
    <row r="796" spans="1:4" x14ac:dyDescent="0.35">
      <c r="A796" t="s">
        <v>165</v>
      </c>
      <c r="B796" t="s">
        <v>13</v>
      </c>
      <c r="C796" t="str">
        <f>I3</f>
        <v>feild_gun</v>
      </c>
      <c r="D796" s="197" t="str">
        <f ca="1">'unit calc'!A183</f>
        <v>76.2mm Zis-3_84</v>
      </c>
    </row>
    <row r="797" spans="1:4" x14ac:dyDescent="0.35">
      <c r="A797" t="s">
        <v>165</v>
      </c>
      <c r="B797" t="s">
        <v>13</v>
      </c>
      <c r="C797" t="str">
        <f>I3</f>
        <v>feild_gun</v>
      </c>
      <c r="D797" s="197" t="str">
        <f ca="1">'unit calc'!A184</f>
        <v>85mm D-44_122</v>
      </c>
    </row>
    <row r="798" spans="1:4" x14ac:dyDescent="0.35">
      <c r="A798" t="s">
        <v>165</v>
      </c>
      <c r="B798" t="s">
        <v>13</v>
      </c>
      <c r="C798" t="str">
        <f>I3</f>
        <v>feild_gun</v>
      </c>
      <c r="D798" s="197" t="str">
        <f ca="1">'unit calc'!A185</f>
        <v>100mm BS-3_144</v>
      </c>
    </row>
    <row r="799" spans="1:4" x14ac:dyDescent="0.35">
      <c r="A799" t="s">
        <v>165</v>
      </c>
      <c r="B799" t="s">
        <v>13</v>
      </c>
      <c r="C799" s="13" t="s">
        <v>365</v>
      </c>
      <c r="D799" s="197" t="str">
        <f ca="1">'unit calc'!A209</f>
        <v>25mm m1940 72-k_165</v>
      </c>
    </row>
    <row r="800" spans="1:4" x14ac:dyDescent="0.35">
      <c r="A800" t="s">
        <v>165</v>
      </c>
      <c r="B800" t="s">
        <v>13</v>
      </c>
      <c r="C800" s="13" t="s">
        <v>365</v>
      </c>
      <c r="D800" s="197" t="str">
        <f ca="1">'unit calc'!A210</f>
        <v>37mm M1930 1-k_136</v>
      </c>
    </row>
    <row r="801" spans="1:4" x14ac:dyDescent="0.35">
      <c r="A801" t="s">
        <v>165</v>
      </c>
      <c r="B801" t="s">
        <v>13</v>
      </c>
      <c r="C801" s="13" t="s">
        <v>365</v>
      </c>
      <c r="D801" s="197" t="str">
        <f ca="1">'unit calc'!A211</f>
        <v>45mm M1932_146</v>
      </c>
    </row>
    <row r="802" spans="1:4" x14ac:dyDescent="0.35">
      <c r="A802" t="s">
        <v>165</v>
      </c>
      <c r="B802" t="s">
        <v>13</v>
      </c>
      <c r="C802" s="13" t="s">
        <v>365</v>
      </c>
      <c r="D802" s="197" t="str">
        <f ca="1">'unit calc'!A212</f>
        <v>57mm ZiS-2_171</v>
      </c>
    </row>
    <row r="803" spans="1:4" x14ac:dyDescent="0.35">
      <c r="A803" t="s">
        <v>165</v>
      </c>
      <c r="B803" t="s">
        <v>13</v>
      </c>
      <c r="C803" s="13" t="s">
        <v>365</v>
      </c>
      <c r="D803" s="197" t="str">
        <f ca="1">'unit calc'!A213</f>
        <v>76.2mm Zis-3_201</v>
      </c>
    </row>
    <row r="804" spans="1:4" x14ac:dyDescent="0.35">
      <c r="A804" t="s">
        <v>165</v>
      </c>
      <c r="B804" t="s">
        <v>13</v>
      </c>
      <c r="C804" s="13" t="s">
        <v>365</v>
      </c>
      <c r="D804" s="197" t="str">
        <f ca="1">'unit calc'!A214</f>
        <v>85mm D-44_239</v>
      </c>
    </row>
    <row r="805" spans="1:4" x14ac:dyDescent="0.35">
      <c r="A805" t="s">
        <v>165</v>
      </c>
      <c r="B805" t="s">
        <v>13</v>
      </c>
      <c r="C805" s="13" t="s">
        <v>365</v>
      </c>
      <c r="D805" s="197" t="str">
        <f ca="1">'unit calc'!A215</f>
        <v>100mm BS-3_261</v>
      </c>
    </row>
    <row r="806" spans="1:4" x14ac:dyDescent="0.35">
      <c r="A806" t="s">
        <v>165</v>
      </c>
      <c r="B806" t="s">
        <v>13</v>
      </c>
      <c r="C806" s="13" t="s">
        <v>50</v>
      </c>
      <c r="D806" s="197" t="str">
        <f ca="1">'unit calc'!A57</f>
        <v>jeep_16</v>
      </c>
    </row>
    <row r="807" spans="1:4" x14ac:dyDescent="0.35">
      <c r="A807" t="s">
        <v>165</v>
      </c>
      <c r="B807" t="s">
        <v>13</v>
      </c>
      <c r="C807" s="13" t="s">
        <v>50</v>
      </c>
      <c r="D807" s="197" t="str">
        <f ca="1">'unit calc'!A58</f>
        <v>truck_34</v>
      </c>
    </row>
    <row r="808" spans="1:4" x14ac:dyDescent="0.35">
      <c r="A808" t="s">
        <v>165</v>
      </c>
      <c r="B808" t="s">
        <v>13</v>
      </c>
      <c r="C808" s="13" t="s">
        <v>50</v>
      </c>
      <c r="D808" s="197" t="str">
        <f ca="1">'unit calc'!A60</f>
        <v>armoured car_95</v>
      </c>
    </row>
    <row r="809" spans="1:4" x14ac:dyDescent="0.35">
      <c r="A809" t="s">
        <v>165</v>
      </c>
      <c r="B809" t="s">
        <v>13</v>
      </c>
      <c r="C809" s="13" t="s">
        <v>50</v>
      </c>
      <c r="D809" s="197" t="str">
        <f ca="1">'unit calc'!A61</f>
        <v>half track_89</v>
      </c>
    </row>
    <row r="810" spans="1:4" x14ac:dyDescent="0.35">
      <c r="A810" t="s">
        <v>165</v>
      </c>
      <c r="B810" t="s">
        <v>13</v>
      </c>
      <c r="C810" s="13" t="s">
        <v>50</v>
      </c>
      <c r="D810" s="197" t="str">
        <f ca="1">'unit calc'!A69</f>
        <v>BT-7_175</v>
      </c>
    </row>
    <row r="811" spans="1:4" x14ac:dyDescent="0.35">
      <c r="A811" t="s">
        <v>165</v>
      </c>
      <c r="B811" t="s">
        <v>13</v>
      </c>
      <c r="C811" s="13" t="s">
        <v>50</v>
      </c>
      <c r="D811" s="197" t="str">
        <f ca="1">'unit calc'!A70</f>
        <v>BT-42 HOW_265</v>
      </c>
    </row>
    <row r="812" spans="1:4" x14ac:dyDescent="0.35">
      <c r="A812" t="s">
        <v>165</v>
      </c>
      <c r="B812" t="s">
        <v>13</v>
      </c>
      <c r="C812" s="13" t="s">
        <v>374</v>
      </c>
      <c r="D812" s="197" t="str">
        <f ca="1">'unit calc'!A69</f>
        <v>BT-7_175</v>
      </c>
    </row>
    <row r="813" spans="1:4" x14ac:dyDescent="0.35">
      <c r="A813" t="s">
        <v>165</v>
      </c>
      <c r="B813" t="s">
        <v>13</v>
      </c>
      <c r="C813" s="13" t="s">
        <v>374</v>
      </c>
      <c r="D813" s="197" t="str">
        <f ca="1">'unit calc'!A70</f>
        <v>BT-42 HOW_265</v>
      </c>
    </row>
    <row r="814" spans="1:4" x14ac:dyDescent="0.35">
      <c r="A814" t="s">
        <v>165</v>
      </c>
      <c r="B814" t="s">
        <v>373</v>
      </c>
      <c r="C814" s="64" t="s">
        <v>368</v>
      </c>
      <c r="D814" s="197" t="str">
        <f ca="1">'unit calc'!A32</f>
        <v>rifle squad_250</v>
      </c>
    </row>
    <row r="815" spans="1:4" x14ac:dyDescent="0.35">
      <c r="A815" t="s">
        <v>165</v>
      </c>
      <c r="B815" t="s">
        <v>373</v>
      </c>
      <c r="C815" s="64" t="s">
        <v>368</v>
      </c>
      <c r="D815" s="197" t="str">
        <f ca="1">'unit calc'!A33</f>
        <v>assault squad_205</v>
      </c>
    </row>
    <row r="816" spans="1:4" x14ac:dyDescent="0.35">
      <c r="A816" t="s">
        <v>165</v>
      </c>
      <c r="B816" t="s">
        <v>373</v>
      </c>
      <c r="C816" s="64" t="s">
        <v>368</v>
      </c>
      <c r="D816" s="197" t="str">
        <f ca="1">'unit calc'!A34</f>
        <v>gun squad_243</v>
      </c>
    </row>
    <row r="817" spans="1:4" x14ac:dyDescent="0.35">
      <c r="A817" t="s">
        <v>165</v>
      </c>
      <c r="B817" t="s">
        <v>373</v>
      </c>
      <c r="C817" s="64" t="s">
        <v>368</v>
      </c>
      <c r="D817" s="197" t="str">
        <f ca="1">'unit calc'!A35</f>
        <v>recon squad_171</v>
      </c>
    </row>
    <row r="818" spans="1:4" x14ac:dyDescent="0.35">
      <c r="A818" t="s">
        <v>165</v>
      </c>
      <c r="B818" t="s">
        <v>373</v>
      </c>
      <c r="C818" s="64" t="s">
        <v>106</v>
      </c>
      <c r="D818" s="197" t="str">
        <f ca="1">'unit calc'!A129</f>
        <v>mortar squad_209</v>
      </c>
    </row>
    <row r="819" spans="1:4" x14ac:dyDescent="0.35">
      <c r="A819" t="s">
        <v>165</v>
      </c>
      <c r="B819" t="s">
        <v>373</v>
      </c>
      <c r="C819" s="64" t="s">
        <v>106</v>
      </c>
      <c r="D819" s="197" t="str">
        <f ca="1">'unit calc'!A130</f>
        <v>mortar x2 squad_261</v>
      </c>
    </row>
    <row r="820" spans="1:4" x14ac:dyDescent="0.35">
      <c r="A820" t="s">
        <v>165</v>
      </c>
      <c r="B820" t="s">
        <v>373</v>
      </c>
      <c r="C820" s="64" t="s">
        <v>106</v>
      </c>
      <c r="D820" s="197" t="str">
        <f ca="1">'unit calc'!A131</f>
        <v>MPAT squad_179</v>
      </c>
    </row>
    <row r="821" spans="1:4" x14ac:dyDescent="0.35">
      <c r="A821" t="s">
        <v>165</v>
      </c>
      <c r="B821" t="s">
        <v>373</v>
      </c>
      <c r="C821" s="64" t="s">
        <v>106</v>
      </c>
      <c r="D821" s="197" t="str">
        <f ca="1">'unit calc'!A132</f>
        <v>MPAT x2 squad_201</v>
      </c>
    </row>
    <row r="822" spans="1:4" x14ac:dyDescent="0.35">
      <c r="A822" t="s">
        <v>165</v>
      </c>
      <c r="B822" t="s">
        <v>373</v>
      </c>
      <c r="C822" s="64" t="s">
        <v>106</v>
      </c>
      <c r="D822" s="197" t="str">
        <f ca="1">'unit calc'!A133</f>
        <v>MMG squad_186</v>
      </c>
    </row>
    <row r="823" spans="1:4" x14ac:dyDescent="0.35">
      <c r="A823" t="s">
        <v>165</v>
      </c>
      <c r="B823" t="s">
        <v>373</v>
      </c>
      <c r="C823" s="64" t="s">
        <v>106</v>
      </c>
      <c r="D823" s="197" t="str">
        <f ca="1">'unit calc'!A134</f>
        <v>MMG x2 squad_215</v>
      </c>
    </row>
    <row r="824" spans="1:4" x14ac:dyDescent="0.35">
      <c r="A824" t="s">
        <v>165</v>
      </c>
      <c r="B824" t="s">
        <v>373</v>
      </c>
      <c r="C824" s="64" t="s">
        <v>106</v>
      </c>
      <c r="D824" s="197" t="str">
        <f ca="1">'unit calc'!A135</f>
        <v>MMG, HMG squad_222</v>
      </c>
    </row>
    <row r="825" spans="1:4" x14ac:dyDescent="0.35">
      <c r="A825" t="s">
        <v>165</v>
      </c>
      <c r="B825" t="s">
        <v>373</v>
      </c>
      <c r="C825" s="64" t="s">
        <v>106</v>
      </c>
      <c r="D825" s="197" t="str">
        <f ca="1">'unit calc'!A136</f>
        <v>HMG_193</v>
      </c>
    </row>
    <row r="826" spans="1:4" x14ac:dyDescent="0.35">
      <c r="A826" t="s">
        <v>165</v>
      </c>
      <c r="B826" t="s">
        <v>373</v>
      </c>
      <c r="C826" s="64" t="s">
        <v>106</v>
      </c>
      <c r="D826" s="197" t="str">
        <f ca="1">'unit calc'!A137</f>
        <v>HMG x2 squad_229</v>
      </c>
    </row>
    <row r="827" spans="1:4" x14ac:dyDescent="0.35">
      <c r="A827" t="s">
        <v>165</v>
      </c>
      <c r="B827" t="s">
        <v>373</v>
      </c>
      <c r="C827" s="64" t="s">
        <v>106</v>
      </c>
      <c r="D827" s="197" t="str">
        <f ca="1">'unit calc'!A138</f>
        <v>flame squad_196</v>
      </c>
    </row>
    <row r="828" spans="1:4" x14ac:dyDescent="0.35">
      <c r="A828" t="s">
        <v>165</v>
      </c>
      <c r="B828" t="s">
        <v>373</v>
      </c>
      <c r="C828" s="64" t="s">
        <v>106</v>
      </c>
      <c r="D828" s="197" t="str">
        <f ca="1">'unit calc'!A139</f>
        <v>FLAME x2 squad_235</v>
      </c>
    </row>
    <row r="829" spans="1:4" x14ac:dyDescent="0.35">
      <c r="A829" t="s">
        <v>165</v>
      </c>
      <c r="B829" t="s">
        <v>373</v>
      </c>
      <c r="C829" s="64" t="s">
        <v>106</v>
      </c>
      <c r="D829" s="197" t="str">
        <f ca="1">'unit calc'!A140</f>
        <v>marksman squad_184</v>
      </c>
    </row>
    <row r="830" spans="1:4" x14ac:dyDescent="0.35">
      <c r="A830" t="s">
        <v>165</v>
      </c>
      <c r="B830" t="s">
        <v>373</v>
      </c>
      <c r="C830" s="64" t="s">
        <v>106</v>
      </c>
      <c r="D830" s="197" t="str">
        <f ca="1">'unit calc'!A141</f>
        <v>marksman x2 squad_211</v>
      </c>
    </row>
    <row r="831" spans="1:4" x14ac:dyDescent="0.35">
      <c r="A831" t="s">
        <v>165</v>
      </c>
      <c r="B831" t="s">
        <v>373</v>
      </c>
      <c r="C831" s="64" t="str">
        <f>G5</f>
        <v>special_forces_1</v>
      </c>
      <c r="D831" s="197" t="str">
        <f ca="1">'unit calc'!A226</f>
        <v>experienced, _72</v>
      </c>
    </row>
    <row r="832" spans="1:4" x14ac:dyDescent="0.35">
      <c r="A832" t="s">
        <v>165</v>
      </c>
      <c r="B832" t="s">
        <v>373</v>
      </c>
      <c r="C832" s="64" t="str">
        <f t="shared" ref="C832:C833" si="8">G6</f>
        <v>special_forces_2</v>
      </c>
      <c r="D832" s="197" t="str">
        <f ca="1">'unit calc'!A227</f>
        <v>experienced, _72</v>
      </c>
    </row>
    <row r="833" spans="1:4" x14ac:dyDescent="0.35">
      <c r="A833" t="s">
        <v>165</v>
      </c>
      <c r="B833" t="s">
        <v>373</v>
      </c>
      <c r="C833" s="64" t="str">
        <f t="shared" si="8"/>
        <v>special_forces_3</v>
      </c>
      <c r="D833" s="197" t="str">
        <f ca="1">'unit calc'!A228</f>
        <v>conscript, _59</v>
      </c>
    </row>
    <row r="834" spans="1:4" x14ac:dyDescent="0.35">
      <c r="A834" t="s">
        <v>165</v>
      </c>
      <c r="B834" t="s">
        <v>373</v>
      </c>
      <c r="C834" s="64" t="s">
        <v>504</v>
      </c>
      <c r="D834" s="197" t="str">
        <f ca="1">'unit calc'!A40</f>
        <v>mmg team_75</v>
      </c>
    </row>
    <row r="835" spans="1:4" x14ac:dyDescent="0.35">
      <c r="A835" t="s">
        <v>165</v>
      </c>
      <c r="B835" t="s">
        <v>373</v>
      </c>
      <c r="C835" s="64" t="s">
        <v>504</v>
      </c>
      <c r="D835" s="197" t="str">
        <f ca="1">'unit calc'!A41</f>
        <v>hmg team_82</v>
      </c>
    </row>
    <row r="836" spans="1:4" x14ac:dyDescent="0.35">
      <c r="A836" t="s">
        <v>165</v>
      </c>
      <c r="B836" t="s">
        <v>373</v>
      </c>
      <c r="C836" s="64" t="s">
        <v>504</v>
      </c>
      <c r="D836" s="197" t="str">
        <f ca="1">'unit calc'!A42</f>
        <v>sniper_60</v>
      </c>
    </row>
    <row r="837" spans="1:4" x14ac:dyDescent="0.35">
      <c r="A837" t="s">
        <v>165</v>
      </c>
      <c r="B837" t="s">
        <v>373</v>
      </c>
      <c r="C837" s="64" t="s">
        <v>504</v>
      </c>
      <c r="D837" s="197" t="str">
        <f ca="1">'unit calc'!A43</f>
        <v>mpat team_68</v>
      </c>
    </row>
    <row r="838" spans="1:4" x14ac:dyDescent="0.35">
      <c r="A838" t="s">
        <v>165</v>
      </c>
      <c r="B838" t="s">
        <v>373</v>
      </c>
      <c r="C838" s="64" t="s">
        <v>504</v>
      </c>
      <c r="D838" s="197" t="str">
        <f ca="1">'unit calc'!A44</f>
        <v>flame thrower team_85</v>
      </c>
    </row>
    <row r="839" spans="1:4" x14ac:dyDescent="0.35">
      <c r="A839" t="s">
        <v>165</v>
      </c>
      <c r="B839" t="s">
        <v>373</v>
      </c>
      <c r="C839" s="64" t="s">
        <v>504</v>
      </c>
      <c r="D839" s="197" t="str">
        <f ca="1">'unit calc'!A45</f>
        <v>mortar team_98</v>
      </c>
    </row>
    <row r="840" spans="1:4" x14ac:dyDescent="0.35">
      <c r="A840" t="s">
        <v>165</v>
      </c>
      <c r="B840" t="s">
        <v>98</v>
      </c>
      <c r="C840" s="64" t="s">
        <v>368</v>
      </c>
      <c r="D840" s="197" t="str">
        <f ca="1">'unit calc'!A32</f>
        <v>rifle squad_250</v>
      </c>
    </row>
    <row r="841" spans="1:4" x14ac:dyDescent="0.35">
      <c r="A841" t="s">
        <v>165</v>
      </c>
      <c r="B841" t="s">
        <v>98</v>
      </c>
      <c r="C841" s="64" t="s">
        <v>368</v>
      </c>
      <c r="D841" s="197" t="str">
        <f ca="1">'unit calc'!A33</f>
        <v>assault squad_205</v>
      </c>
    </row>
    <row r="842" spans="1:4" x14ac:dyDescent="0.35">
      <c r="A842" t="s">
        <v>165</v>
      </c>
      <c r="B842" t="s">
        <v>98</v>
      </c>
      <c r="C842" s="64" t="s">
        <v>368</v>
      </c>
      <c r="D842" s="197" t="str">
        <f ca="1">'unit calc'!A34</f>
        <v>gun squad_243</v>
      </c>
    </row>
    <row r="843" spans="1:4" x14ac:dyDescent="0.35">
      <c r="A843" t="s">
        <v>165</v>
      </c>
      <c r="B843" t="s">
        <v>98</v>
      </c>
      <c r="C843" s="64" t="s">
        <v>368</v>
      </c>
      <c r="D843" s="197" t="str">
        <f ca="1">'unit calc'!A35</f>
        <v>recon squad_171</v>
      </c>
    </row>
    <row r="844" spans="1:4" x14ac:dyDescent="0.35">
      <c r="A844" t="s">
        <v>165</v>
      </c>
      <c r="B844" t="s">
        <v>98</v>
      </c>
      <c r="C844" s="64" t="s">
        <v>106</v>
      </c>
      <c r="D844" s="197" t="str">
        <f ca="1">'unit calc'!A129</f>
        <v>mortar squad_209</v>
      </c>
    </row>
    <row r="845" spans="1:4" x14ac:dyDescent="0.35">
      <c r="A845" t="s">
        <v>165</v>
      </c>
      <c r="B845" t="s">
        <v>98</v>
      </c>
      <c r="C845" s="64" t="s">
        <v>106</v>
      </c>
      <c r="D845" s="197" t="str">
        <f ca="1">'unit calc'!A130</f>
        <v>mortar x2 squad_261</v>
      </c>
    </row>
    <row r="846" spans="1:4" x14ac:dyDescent="0.35">
      <c r="A846" t="s">
        <v>165</v>
      </c>
      <c r="B846" t="s">
        <v>98</v>
      </c>
      <c r="C846" s="64" t="s">
        <v>106</v>
      </c>
      <c r="D846" s="197" t="str">
        <f ca="1">'unit calc'!A131</f>
        <v>MPAT squad_179</v>
      </c>
    </row>
    <row r="847" spans="1:4" x14ac:dyDescent="0.35">
      <c r="A847" t="s">
        <v>165</v>
      </c>
      <c r="B847" t="s">
        <v>98</v>
      </c>
      <c r="C847" s="64" t="s">
        <v>106</v>
      </c>
      <c r="D847" s="197" t="str">
        <f ca="1">'unit calc'!A132</f>
        <v>MPAT x2 squad_201</v>
      </c>
    </row>
    <row r="848" spans="1:4" x14ac:dyDescent="0.35">
      <c r="A848" t="s">
        <v>165</v>
      </c>
      <c r="B848" t="s">
        <v>98</v>
      </c>
      <c r="C848" s="64" t="s">
        <v>106</v>
      </c>
      <c r="D848" s="197" t="str">
        <f ca="1">'unit calc'!A133</f>
        <v>MMG squad_186</v>
      </c>
    </row>
    <row r="849" spans="1:4" x14ac:dyDescent="0.35">
      <c r="A849" t="s">
        <v>165</v>
      </c>
      <c r="B849" t="s">
        <v>98</v>
      </c>
      <c r="C849" s="64" t="s">
        <v>106</v>
      </c>
      <c r="D849" s="197" t="str">
        <f ca="1">'unit calc'!A134</f>
        <v>MMG x2 squad_215</v>
      </c>
    </row>
    <row r="850" spans="1:4" x14ac:dyDescent="0.35">
      <c r="A850" t="s">
        <v>165</v>
      </c>
      <c r="B850" t="s">
        <v>98</v>
      </c>
      <c r="C850" s="64" t="s">
        <v>106</v>
      </c>
      <c r="D850" s="197" t="str">
        <f ca="1">'unit calc'!A135</f>
        <v>MMG, HMG squad_222</v>
      </c>
    </row>
    <row r="851" spans="1:4" x14ac:dyDescent="0.35">
      <c r="A851" t="s">
        <v>165</v>
      </c>
      <c r="B851" t="s">
        <v>98</v>
      </c>
      <c r="C851" s="64" t="s">
        <v>106</v>
      </c>
      <c r="D851" s="197" t="str">
        <f ca="1">'unit calc'!A136</f>
        <v>HMG_193</v>
      </c>
    </row>
    <row r="852" spans="1:4" x14ac:dyDescent="0.35">
      <c r="A852" t="s">
        <v>165</v>
      </c>
      <c r="B852" t="s">
        <v>98</v>
      </c>
      <c r="C852" s="64" t="s">
        <v>106</v>
      </c>
      <c r="D852" s="197" t="str">
        <f ca="1">'unit calc'!A137</f>
        <v>HMG x2 squad_229</v>
      </c>
    </row>
    <row r="853" spans="1:4" x14ac:dyDescent="0.35">
      <c r="A853" t="s">
        <v>165</v>
      </c>
      <c r="B853" t="s">
        <v>98</v>
      </c>
      <c r="C853" s="64" t="s">
        <v>106</v>
      </c>
      <c r="D853" s="197" t="str">
        <f ca="1">'unit calc'!A138</f>
        <v>flame squad_196</v>
      </c>
    </row>
    <row r="854" spans="1:4" x14ac:dyDescent="0.35">
      <c r="A854" t="s">
        <v>165</v>
      </c>
      <c r="B854" t="s">
        <v>98</v>
      </c>
      <c r="C854" s="64" t="s">
        <v>106</v>
      </c>
      <c r="D854" s="197" t="str">
        <f ca="1">'unit calc'!A139</f>
        <v>FLAME x2 squad_235</v>
      </c>
    </row>
    <row r="855" spans="1:4" x14ac:dyDescent="0.35">
      <c r="A855" t="s">
        <v>165</v>
      </c>
      <c r="B855" t="s">
        <v>98</v>
      </c>
      <c r="C855" s="64" t="s">
        <v>106</v>
      </c>
      <c r="D855" s="197" t="str">
        <f ca="1">'unit calc'!A140</f>
        <v>marksman squad_184</v>
      </c>
    </row>
    <row r="856" spans="1:4" x14ac:dyDescent="0.35">
      <c r="A856" t="s">
        <v>165</v>
      </c>
      <c r="B856" t="s">
        <v>98</v>
      </c>
      <c r="C856" s="64" t="s">
        <v>106</v>
      </c>
      <c r="D856" s="197" t="str">
        <f ca="1">'unit calc'!A141</f>
        <v>marksman x2 squad_211</v>
      </c>
    </row>
    <row r="857" spans="1:4" x14ac:dyDescent="0.35">
      <c r="A857" t="s">
        <v>165</v>
      </c>
      <c r="B857" t="s">
        <v>98</v>
      </c>
      <c r="C857" s="64" t="str">
        <f>G5</f>
        <v>special_forces_1</v>
      </c>
      <c r="D857" s="197" t="str">
        <f ca="1">'unit calc'!A226</f>
        <v>experienced, _72</v>
      </c>
    </row>
    <row r="858" spans="1:4" x14ac:dyDescent="0.35">
      <c r="A858" t="s">
        <v>165</v>
      </c>
      <c r="B858" t="s">
        <v>98</v>
      </c>
      <c r="C858" s="64" t="str">
        <f t="shared" ref="C858:C859" si="9">G6</f>
        <v>special_forces_2</v>
      </c>
      <c r="D858" s="197" t="str">
        <f ca="1">'unit calc'!A227</f>
        <v>experienced, _72</v>
      </c>
    </row>
    <row r="859" spans="1:4" x14ac:dyDescent="0.35">
      <c r="A859" t="s">
        <v>165</v>
      </c>
      <c r="B859" t="s">
        <v>98</v>
      </c>
      <c r="C859" s="64" t="str">
        <f t="shared" si="9"/>
        <v>special_forces_3</v>
      </c>
      <c r="D859" s="197" t="str">
        <f ca="1">'unit calc'!A228</f>
        <v>conscript, _59</v>
      </c>
    </row>
    <row r="860" spans="1:4" x14ac:dyDescent="0.35">
      <c r="A860" t="s">
        <v>165</v>
      </c>
      <c r="B860" t="s">
        <v>98</v>
      </c>
      <c r="C860" s="64" t="s">
        <v>504</v>
      </c>
      <c r="D860" s="197" t="str">
        <f ca="1">'unit calc'!A40</f>
        <v>mmg team_75</v>
      </c>
    </row>
    <row r="861" spans="1:4" x14ac:dyDescent="0.35">
      <c r="A861" t="s">
        <v>165</v>
      </c>
      <c r="B861" t="s">
        <v>98</v>
      </c>
      <c r="C861" s="64" t="s">
        <v>504</v>
      </c>
      <c r="D861" s="197" t="str">
        <f ca="1">'unit calc'!A41</f>
        <v>hmg team_82</v>
      </c>
    </row>
    <row r="862" spans="1:4" x14ac:dyDescent="0.35">
      <c r="A862" t="s">
        <v>165</v>
      </c>
      <c r="B862" t="s">
        <v>98</v>
      </c>
      <c r="C862" s="64" t="s">
        <v>504</v>
      </c>
      <c r="D862" s="197" t="str">
        <f ca="1">'unit calc'!A42</f>
        <v>sniper_60</v>
      </c>
    </row>
    <row r="863" spans="1:4" x14ac:dyDescent="0.35">
      <c r="A863" t="s">
        <v>165</v>
      </c>
      <c r="B863" t="s">
        <v>98</v>
      </c>
      <c r="C863" s="64" t="s">
        <v>504</v>
      </c>
      <c r="D863" s="197" t="str">
        <f ca="1">'unit calc'!A43</f>
        <v>mpat team_68</v>
      </c>
    </row>
    <row r="864" spans="1:4" x14ac:dyDescent="0.35">
      <c r="A864" t="s">
        <v>165</v>
      </c>
      <c r="B864" t="s">
        <v>98</v>
      </c>
      <c r="C864" s="64" t="s">
        <v>504</v>
      </c>
      <c r="D864" s="197" t="str">
        <f ca="1">'unit calc'!A44</f>
        <v>flame thrower team_85</v>
      </c>
    </row>
    <row r="865" spans="1:4" x14ac:dyDescent="0.35">
      <c r="A865" t="s">
        <v>165</v>
      </c>
      <c r="B865" t="s">
        <v>98</v>
      </c>
      <c r="C865" s="64" t="s">
        <v>504</v>
      </c>
      <c r="D865" s="197" t="str">
        <f ca="1">'unit calc'!A45</f>
        <v>mortar team_98</v>
      </c>
    </row>
    <row r="866" spans="1:4" x14ac:dyDescent="0.35">
      <c r="A866" t="s">
        <v>165</v>
      </c>
      <c r="B866" t="s">
        <v>98</v>
      </c>
      <c r="C866" t="str">
        <f>I3</f>
        <v>feild_gun</v>
      </c>
      <c r="D866" s="197" t="str">
        <f ca="1">'unit calc'!A179</f>
        <v>25mm m1940 72-k_48</v>
      </c>
    </row>
    <row r="867" spans="1:4" x14ac:dyDescent="0.35">
      <c r="A867" t="s">
        <v>165</v>
      </c>
      <c r="B867" t="s">
        <v>98</v>
      </c>
      <c r="C867" t="str">
        <f>I3</f>
        <v>feild_gun</v>
      </c>
      <c r="D867" s="197" t="str">
        <f ca="1">'unit calc'!A180</f>
        <v>37mm M1930 1-k_32</v>
      </c>
    </row>
    <row r="868" spans="1:4" x14ac:dyDescent="0.35">
      <c r="A868" t="s">
        <v>165</v>
      </c>
      <c r="B868" t="s">
        <v>98</v>
      </c>
      <c r="C868" t="str">
        <f>I3</f>
        <v>feild_gun</v>
      </c>
      <c r="D868" s="197" t="str">
        <f ca="1">'unit calc'!A181</f>
        <v>45mm M1932_42</v>
      </c>
    </row>
    <row r="869" spans="1:4" x14ac:dyDescent="0.35">
      <c r="A869" t="s">
        <v>165</v>
      </c>
      <c r="B869" t="s">
        <v>98</v>
      </c>
      <c r="C869" t="str">
        <f>I3</f>
        <v>feild_gun</v>
      </c>
      <c r="D869" s="197" t="str">
        <f ca="1">'unit calc'!A182</f>
        <v>57mm ZiS-2_54</v>
      </c>
    </row>
    <row r="870" spans="1:4" x14ac:dyDescent="0.35">
      <c r="A870" t="s">
        <v>165</v>
      </c>
      <c r="B870" t="s">
        <v>98</v>
      </c>
      <c r="C870" t="str">
        <f>I3</f>
        <v>feild_gun</v>
      </c>
      <c r="D870" s="197" t="str">
        <f ca="1">'unit calc'!A183</f>
        <v>76.2mm Zis-3_84</v>
      </c>
    </row>
    <row r="871" spans="1:4" x14ac:dyDescent="0.35">
      <c r="A871" t="s">
        <v>165</v>
      </c>
      <c r="B871" t="s">
        <v>98</v>
      </c>
      <c r="C871" t="str">
        <f>I3</f>
        <v>feild_gun</v>
      </c>
      <c r="D871" s="197" t="str">
        <f ca="1">'unit calc'!A184</f>
        <v>85mm D-44_122</v>
      </c>
    </row>
    <row r="872" spans="1:4" x14ac:dyDescent="0.35">
      <c r="A872" t="s">
        <v>165</v>
      </c>
      <c r="B872" t="s">
        <v>98</v>
      </c>
      <c r="C872" t="str">
        <f>I3</f>
        <v>feild_gun</v>
      </c>
      <c r="D872" s="197" t="str">
        <f ca="1">'unit calc'!A185</f>
        <v>100mm BS-3_144</v>
      </c>
    </row>
    <row r="873" spans="1:4" x14ac:dyDescent="0.35">
      <c r="A873" t="s">
        <v>165</v>
      </c>
      <c r="B873" t="s">
        <v>98</v>
      </c>
      <c r="C873" s="13" t="s">
        <v>365</v>
      </c>
      <c r="D873" s="197" t="str">
        <f ca="1">'unit calc'!A209</f>
        <v>25mm m1940 72-k_165</v>
      </c>
    </row>
    <row r="874" spans="1:4" x14ac:dyDescent="0.35">
      <c r="A874" t="s">
        <v>165</v>
      </c>
      <c r="B874" t="s">
        <v>98</v>
      </c>
      <c r="C874" s="13" t="s">
        <v>365</v>
      </c>
      <c r="D874" s="197" t="str">
        <f ca="1">'unit calc'!A210</f>
        <v>37mm M1930 1-k_136</v>
      </c>
    </row>
    <row r="875" spans="1:4" x14ac:dyDescent="0.35">
      <c r="A875" t="s">
        <v>165</v>
      </c>
      <c r="B875" t="s">
        <v>98</v>
      </c>
      <c r="C875" s="13" t="s">
        <v>365</v>
      </c>
      <c r="D875" s="197" t="str">
        <f ca="1">'unit calc'!A211</f>
        <v>45mm M1932_146</v>
      </c>
    </row>
    <row r="876" spans="1:4" x14ac:dyDescent="0.35">
      <c r="A876" t="s">
        <v>165</v>
      </c>
      <c r="B876" t="s">
        <v>98</v>
      </c>
      <c r="C876" s="13" t="s">
        <v>365</v>
      </c>
      <c r="D876" s="197" t="str">
        <f ca="1">'unit calc'!A212</f>
        <v>57mm ZiS-2_171</v>
      </c>
    </row>
    <row r="877" spans="1:4" x14ac:dyDescent="0.35">
      <c r="A877" t="s">
        <v>165</v>
      </c>
      <c r="B877" t="s">
        <v>98</v>
      </c>
      <c r="C877" s="13" t="s">
        <v>365</v>
      </c>
      <c r="D877" s="197" t="str">
        <f ca="1">'unit calc'!A213</f>
        <v>76.2mm Zis-3_201</v>
      </c>
    </row>
    <row r="878" spans="1:4" x14ac:dyDescent="0.35">
      <c r="A878" t="s">
        <v>165</v>
      </c>
      <c r="B878" t="s">
        <v>98</v>
      </c>
      <c r="C878" s="13" t="s">
        <v>365</v>
      </c>
      <c r="D878" s="197" t="str">
        <f ca="1">'unit calc'!A214</f>
        <v>85mm D-44_239</v>
      </c>
    </row>
    <row r="879" spans="1:4" x14ac:dyDescent="0.35">
      <c r="A879" t="s">
        <v>165</v>
      </c>
      <c r="B879" t="s">
        <v>98</v>
      </c>
      <c r="C879" s="13" t="s">
        <v>365</v>
      </c>
      <c r="D879" s="197" t="str">
        <f ca="1">'unit calc'!A215</f>
        <v>100mm BS-3_261</v>
      </c>
    </row>
    <row r="880" spans="1:4" x14ac:dyDescent="0.35">
      <c r="A880" t="s">
        <v>165</v>
      </c>
      <c r="B880" t="s">
        <v>98</v>
      </c>
      <c r="C880" s="13" t="s">
        <v>50</v>
      </c>
      <c r="D880" s="197" t="str">
        <f ca="1">'unit calc'!A57</f>
        <v>jeep_16</v>
      </c>
    </row>
    <row r="881" spans="1:4" x14ac:dyDescent="0.35">
      <c r="A881" t="s">
        <v>165</v>
      </c>
      <c r="B881" t="s">
        <v>98</v>
      </c>
      <c r="C881" s="13" t="s">
        <v>50</v>
      </c>
      <c r="D881" s="197" t="str">
        <f ca="1">'unit calc'!A58</f>
        <v>truck_34</v>
      </c>
    </row>
    <row r="882" spans="1:4" x14ac:dyDescent="0.35">
      <c r="A882" t="s">
        <v>165</v>
      </c>
      <c r="B882" t="s">
        <v>98</v>
      </c>
      <c r="C882" s="13" t="s">
        <v>50</v>
      </c>
      <c r="D882" s="197" t="str">
        <f ca="1">'unit calc'!A60</f>
        <v>armoured car_95</v>
      </c>
    </row>
    <row r="883" spans="1:4" x14ac:dyDescent="0.35">
      <c r="A883" t="s">
        <v>165</v>
      </c>
      <c r="B883" t="s">
        <v>98</v>
      </c>
      <c r="C883" s="13" t="s">
        <v>50</v>
      </c>
      <c r="D883" s="197" t="str">
        <f ca="1">'unit calc'!A61</f>
        <v>half track_89</v>
      </c>
    </row>
    <row r="884" spans="1:4" x14ac:dyDescent="0.35">
      <c r="A884" t="s">
        <v>165</v>
      </c>
      <c r="B884" t="s">
        <v>98</v>
      </c>
      <c r="C884" s="64" t="s">
        <v>374</v>
      </c>
      <c r="D884" s="197" t="str">
        <f ca="1">'unit calc'!A69</f>
        <v>BT-7_175</v>
      </c>
    </row>
    <row r="885" spans="1:4" x14ac:dyDescent="0.35">
      <c r="A885" t="s">
        <v>165</v>
      </c>
      <c r="B885" t="s">
        <v>98</v>
      </c>
      <c r="C885" s="64" t="s">
        <v>374</v>
      </c>
      <c r="D885" s="197" t="str">
        <f ca="1">'unit calc'!A70</f>
        <v>BT-42 HOW_265</v>
      </c>
    </row>
    <row r="886" spans="1:4" x14ac:dyDescent="0.35">
      <c r="A886" t="s">
        <v>165</v>
      </c>
      <c r="B886" t="s">
        <v>98</v>
      </c>
      <c r="C886" s="64" t="s">
        <v>374</v>
      </c>
      <c r="D886" s="197" t="str">
        <f ca="1">'unit calc'!A88</f>
        <v>T34-85_305</v>
      </c>
    </row>
    <row r="887" spans="1:4" x14ac:dyDescent="0.35">
      <c r="A887" t="s">
        <v>165</v>
      </c>
      <c r="B887" t="s">
        <v>98</v>
      </c>
      <c r="C887" s="64" t="s">
        <v>374</v>
      </c>
      <c r="D887" s="197" t="str">
        <f ca="1">'unit calc'!A90</f>
        <v>T34_275</v>
      </c>
    </row>
    <row r="888" spans="1:4" x14ac:dyDescent="0.35">
      <c r="A888" t="s">
        <v>165</v>
      </c>
      <c r="B888" t="s">
        <v>98</v>
      </c>
      <c r="C888" s="64" t="s">
        <v>374</v>
      </c>
      <c r="D888" s="197" t="str">
        <f ca="1">'unit calc'!A99</f>
        <v>KV-1b_795</v>
      </c>
    </row>
    <row r="889" spans="1:4" x14ac:dyDescent="0.35">
      <c r="A889" t="s">
        <v>165</v>
      </c>
      <c r="B889" t="s">
        <v>98</v>
      </c>
      <c r="C889" s="64" t="s">
        <v>374</v>
      </c>
      <c r="D889" s="197" t="str">
        <f ca="1">'unit calc'!A100</f>
        <v>IS-2_970</v>
      </c>
    </row>
    <row r="890" spans="1:4" x14ac:dyDescent="0.35">
      <c r="A890" t="s">
        <v>165</v>
      </c>
      <c r="B890" t="s">
        <v>17</v>
      </c>
      <c r="C890" s="64" t="s">
        <v>89</v>
      </c>
      <c r="D890" s="197" t="str">
        <f ca="1">'unit calc'!A69</f>
        <v>BT-7_175</v>
      </c>
    </row>
    <row r="891" spans="1:4" x14ac:dyDescent="0.35">
      <c r="A891" t="s">
        <v>165</v>
      </c>
      <c r="B891" t="s">
        <v>17</v>
      </c>
      <c r="C891" s="64" t="s">
        <v>89</v>
      </c>
      <c r="D891" s="197" t="str">
        <f ca="1">'unit calc'!A70</f>
        <v>BT-42 HOW_265</v>
      </c>
    </row>
    <row r="892" spans="1:4" x14ac:dyDescent="0.35">
      <c r="A892" t="s">
        <v>165</v>
      </c>
      <c r="B892" t="s">
        <v>17</v>
      </c>
      <c r="C892" s="64" t="s">
        <v>89</v>
      </c>
      <c r="D892" s="197" t="str">
        <f ca="1">'unit calc'!A88</f>
        <v>T34-85_305</v>
      </c>
    </row>
    <row r="893" spans="1:4" x14ac:dyDescent="0.35">
      <c r="A893" t="s">
        <v>165</v>
      </c>
      <c r="B893" t="s">
        <v>17</v>
      </c>
      <c r="C893" s="64" t="s">
        <v>89</v>
      </c>
      <c r="D893" s="197" t="str">
        <f ca="1">'unit calc'!A90</f>
        <v>T34_275</v>
      </c>
    </row>
    <row r="894" spans="1:4" x14ac:dyDescent="0.35">
      <c r="A894" t="s">
        <v>165</v>
      </c>
      <c r="B894" t="s">
        <v>17</v>
      </c>
      <c r="C894" s="64" t="s">
        <v>89</v>
      </c>
      <c r="D894" s="197" t="str">
        <f ca="1">'unit calc'!A99</f>
        <v>KV-1b_795</v>
      </c>
    </row>
    <row r="895" spans="1:4" x14ac:dyDescent="0.35">
      <c r="A895" t="s">
        <v>165</v>
      </c>
      <c r="B895" t="s">
        <v>17</v>
      </c>
      <c r="C895" s="64" t="s">
        <v>89</v>
      </c>
      <c r="D895" s="197" t="str">
        <f ca="1">'unit calc'!A100</f>
        <v>IS-2_970</v>
      </c>
    </row>
    <row r="896" spans="1:4" x14ac:dyDescent="0.35">
      <c r="A896" t="s">
        <v>165</v>
      </c>
      <c r="B896" t="s">
        <v>17</v>
      </c>
      <c r="C896" s="64" t="s">
        <v>374</v>
      </c>
      <c r="D896" s="197" t="str">
        <f ca="1">'unit calc'!A69</f>
        <v>BT-7_175</v>
      </c>
    </row>
    <row r="897" spans="1:4" x14ac:dyDescent="0.35">
      <c r="A897" t="s">
        <v>165</v>
      </c>
      <c r="B897" t="s">
        <v>17</v>
      </c>
      <c r="C897" s="64" t="s">
        <v>374</v>
      </c>
      <c r="D897" s="197" t="str">
        <f ca="1">'unit calc'!A70</f>
        <v>BT-42 HOW_265</v>
      </c>
    </row>
    <row r="898" spans="1:4" x14ac:dyDescent="0.35">
      <c r="A898" t="s">
        <v>165</v>
      </c>
      <c r="B898" t="s">
        <v>17</v>
      </c>
      <c r="C898" s="64" t="s">
        <v>374</v>
      </c>
      <c r="D898" s="197" t="str">
        <f ca="1">'unit calc'!A90</f>
        <v>T34_275</v>
      </c>
    </row>
    <row r="899" spans="1:4" x14ac:dyDescent="0.35">
      <c r="A899" t="s">
        <v>165</v>
      </c>
      <c r="B899" t="s">
        <v>17</v>
      </c>
      <c r="C899" s="64" t="s">
        <v>374</v>
      </c>
      <c r="D899" s="197" t="str">
        <f ca="1">'unit calc'!A88</f>
        <v>T34-85_305</v>
      </c>
    </row>
    <row r="900" spans="1:4" x14ac:dyDescent="0.35">
      <c r="A900" t="s">
        <v>165</v>
      </c>
      <c r="B900" t="s">
        <v>17</v>
      </c>
      <c r="C900" s="64" t="s">
        <v>374</v>
      </c>
      <c r="D900" s="197" t="str">
        <f ca="1">'unit calc'!A99</f>
        <v>KV-1b_795</v>
      </c>
    </row>
    <row r="901" spans="1:4" x14ac:dyDescent="0.35">
      <c r="A901" t="s">
        <v>165</v>
      </c>
      <c r="B901" t="s">
        <v>17</v>
      </c>
      <c r="C901" s="64" t="s">
        <v>374</v>
      </c>
      <c r="D901" s="197" t="str">
        <f ca="1">'unit calc'!A100</f>
        <v>IS-2_970</v>
      </c>
    </row>
    <row r="902" spans="1:4" x14ac:dyDescent="0.35">
      <c r="A902" t="s">
        <v>166</v>
      </c>
      <c r="B902" t="s">
        <v>86</v>
      </c>
      <c r="C902" s="64" t="s">
        <v>368</v>
      </c>
      <c r="D902" s="197" t="str">
        <f ca="1">'unit calc'!A32</f>
        <v>rifle squad_250</v>
      </c>
    </row>
    <row r="903" spans="1:4" x14ac:dyDescent="0.35">
      <c r="A903" t="s">
        <v>166</v>
      </c>
      <c r="B903" t="s">
        <v>86</v>
      </c>
      <c r="C903" s="64" t="s">
        <v>368</v>
      </c>
      <c r="D903" s="197" t="str">
        <f ca="1">'unit calc'!A33</f>
        <v>assault squad_205</v>
      </c>
    </row>
    <row r="904" spans="1:4" x14ac:dyDescent="0.35">
      <c r="A904" t="s">
        <v>166</v>
      </c>
      <c r="B904" t="s">
        <v>86</v>
      </c>
      <c r="C904" s="64" t="s">
        <v>368</v>
      </c>
      <c r="D904" s="197" t="str">
        <f ca="1">'unit calc'!A34</f>
        <v>gun squad_243</v>
      </c>
    </row>
    <row r="905" spans="1:4" x14ac:dyDescent="0.35">
      <c r="A905" t="s">
        <v>166</v>
      </c>
      <c r="B905" t="s">
        <v>86</v>
      </c>
      <c r="C905" s="64" t="s">
        <v>368</v>
      </c>
      <c r="D905" s="197" t="str">
        <f ca="1">'unit calc'!A35</f>
        <v>recon squad_171</v>
      </c>
    </row>
    <row r="906" spans="1:4" x14ac:dyDescent="0.35">
      <c r="A906" t="s">
        <v>166</v>
      </c>
      <c r="B906" t="s">
        <v>86</v>
      </c>
      <c r="C906" s="64" t="s">
        <v>106</v>
      </c>
      <c r="D906" s="197" t="str">
        <f ca="1">'unit calc'!A129</f>
        <v>mortar squad_209</v>
      </c>
    </row>
    <row r="907" spans="1:4" x14ac:dyDescent="0.35">
      <c r="A907" t="s">
        <v>166</v>
      </c>
      <c r="B907" t="s">
        <v>86</v>
      </c>
      <c r="C907" s="64" t="s">
        <v>106</v>
      </c>
      <c r="D907" s="197" t="str">
        <f ca="1">'unit calc'!A130</f>
        <v>mortar x2 squad_261</v>
      </c>
    </row>
    <row r="908" spans="1:4" x14ac:dyDescent="0.35">
      <c r="A908" t="s">
        <v>166</v>
      </c>
      <c r="B908" t="s">
        <v>86</v>
      </c>
      <c r="C908" s="64" t="s">
        <v>106</v>
      </c>
      <c r="D908" s="197" t="str">
        <f ca="1">'unit calc'!A131</f>
        <v>MPAT squad_179</v>
      </c>
    </row>
    <row r="909" spans="1:4" x14ac:dyDescent="0.35">
      <c r="A909" t="s">
        <v>166</v>
      </c>
      <c r="B909" t="s">
        <v>86</v>
      </c>
      <c r="C909" s="64" t="s">
        <v>106</v>
      </c>
      <c r="D909" s="197" t="str">
        <f ca="1">'unit calc'!A132</f>
        <v>MPAT x2 squad_201</v>
      </c>
    </row>
    <row r="910" spans="1:4" x14ac:dyDescent="0.35">
      <c r="A910" t="s">
        <v>166</v>
      </c>
      <c r="B910" t="s">
        <v>86</v>
      </c>
      <c r="C910" s="64" t="s">
        <v>106</v>
      </c>
      <c r="D910" s="197" t="str">
        <f ca="1">'unit calc'!A133</f>
        <v>MMG squad_186</v>
      </c>
    </row>
    <row r="911" spans="1:4" x14ac:dyDescent="0.35">
      <c r="A911" t="s">
        <v>166</v>
      </c>
      <c r="B911" t="s">
        <v>86</v>
      </c>
      <c r="C911" s="64" t="s">
        <v>106</v>
      </c>
      <c r="D911" s="197" t="str">
        <f ca="1">'unit calc'!A134</f>
        <v>MMG x2 squad_215</v>
      </c>
    </row>
    <row r="912" spans="1:4" x14ac:dyDescent="0.35">
      <c r="A912" t="s">
        <v>166</v>
      </c>
      <c r="B912" t="s">
        <v>86</v>
      </c>
      <c r="C912" s="64" t="s">
        <v>106</v>
      </c>
      <c r="D912" s="197" t="str">
        <f ca="1">'unit calc'!A135</f>
        <v>MMG, HMG squad_222</v>
      </c>
    </row>
    <row r="913" spans="1:4" x14ac:dyDescent="0.35">
      <c r="A913" t="s">
        <v>166</v>
      </c>
      <c r="B913" t="s">
        <v>86</v>
      </c>
      <c r="C913" s="64" t="s">
        <v>106</v>
      </c>
      <c r="D913" s="197" t="str">
        <f ca="1">'unit calc'!A136</f>
        <v>HMG_193</v>
      </c>
    </row>
    <row r="914" spans="1:4" x14ac:dyDescent="0.35">
      <c r="A914" t="s">
        <v>166</v>
      </c>
      <c r="B914" t="s">
        <v>86</v>
      </c>
      <c r="C914" s="64" t="s">
        <v>106</v>
      </c>
      <c r="D914" s="197" t="str">
        <f ca="1">'unit calc'!A137</f>
        <v>HMG x2 squad_229</v>
      </c>
    </row>
    <row r="915" spans="1:4" x14ac:dyDescent="0.35">
      <c r="A915" t="s">
        <v>166</v>
      </c>
      <c r="B915" t="s">
        <v>86</v>
      </c>
      <c r="C915" s="64" t="s">
        <v>106</v>
      </c>
      <c r="D915" s="197" t="str">
        <f ca="1">'unit calc'!A138</f>
        <v>flame squad_196</v>
      </c>
    </row>
    <row r="916" spans="1:4" x14ac:dyDescent="0.35">
      <c r="A916" t="s">
        <v>166</v>
      </c>
      <c r="B916" t="s">
        <v>86</v>
      </c>
      <c r="C916" s="64" t="s">
        <v>106</v>
      </c>
      <c r="D916" s="197" t="str">
        <f ca="1">'unit calc'!A139</f>
        <v>FLAME x2 squad_235</v>
      </c>
    </row>
    <row r="917" spans="1:4" x14ac:dyDescent="0.35">
      <c r="A917" t="s">
        <v>166</v>
      </c>
      <c r="B917" t="s">
        <v>86</v>
      </c>
      <c r="C917" s="64" t="s">
        <v>106</v>
      </c>
      <c r="D917" s="197" t="str">
        <f ca="1">'unit calc'!A140</f>
        <v>marksman squad_184</v>
      </c>
    </row>
    <row r="918" spans="1:4" x14ac:dyDescent="0.35">
      <c r="A918" t="s">
        <v>166</v>
      </c>
      <c r="B918" t="s">
        <v>86</v>
      </c>
      <c r="C918" s="64" t="s">
        <v>106</v>
      </c>
      <c r="D918" s="197" t="str">
        <f ca="1">'unit calc'!A141</f>
        <v>marksman x2 squad_211</v>
      </c>
    </row>
    <row r="919" spans="1:4" x14ac:dyDescent="0.35">
      <c r="A919" t="s">
        <v>166</v>
      </c>
      <c r="B919" t="s">
        <v>86</v>
      </c>
      <c r="C919" s="64" t="str">
        <f>G5</f>
        <v>special_forces_1</v>
      </c>
      <c r="D919" s="197" t="str">
        <f ca="1">'unit calc'!A226</f>
        <v>experienced, _72</v>
      </c>
    </row>
    <row r="920" spans="1:4" x14ac:dyDescent="0.35">
      <c r="A920" t="s">
        <v>166</v>
      </c>
      <c r="B920" t="s">
        <v>86</v>
      </c>
      <c r="C920" s="64" t="str">
        <f>G6</f>
        <v>special_forces_2</v>
      </c>
      <c r="D920" s="197" t="str">
        <f ca="1">'unit calc'!A227</f>
        <v>experienced, _72</v>
      </c>
    </row>
    <row r="921" spans="1:4" x14ac:dyDescent="0.35">
      <c r="A921" t="s">
        <v>166</v>
      </c>
      <c r="B921" t="s">
        <v>86</v>
      </c>
      <c r="C921" s="64" t="s">
        <v>504</v>
      </c>
      <c r="D921" s="197" t="str">
        <f ca="1">'unit calc'!A40</f>
        <v>mmg team_75</v>
      </c>
    </row>
    <row r="922" spans="1:4" x14ac:dyDescent="0.35">
      <c r="A922" t="s">
        <v>166</v>
      </c>
      <c r="B922" t="s">
        <v>86</v>
      </c>
      <c r="C922" s="64" t="s">
        <v>504</v>
      </c>
      <c r="D922" s="197" t="str">
        <f ca="1">'unit calc'!A41</f>
        <v>hmg team_82</v>
      </c>
    </row>
    <row r="923" spans="1:4" x14ac:dyDescent="0.35">
      <c r="A923" t="s">
        <v>166</v>
      </c>
      <c r="B923" t="s">
        <v>86</v>
      </c>
      <c r="C923" s="64" t="s">
        <v>504</v>
      </c>
      <c r="D923" s="197" t="str">
        <f ca="1">'unit calc'!A42</f>
        <v>sniper_60</v>
      </c>
    </row>
    <row r="924" spans="1:4" x14ac:dyDescent="0.35">
      <c r="A924" t="s">
        <v>166</v>
      </c>
      <c r="B924" t="s">
        <v>86</v>
      </c>
      <c r="C924" s="64" t="s">
        <v>504</v>
      </c>
      <c r="D924" s="197" t="str">
        <f ca="1">'unit calc'!A43</f>
        <v>mpat team_68</v>
      </c>
    </row>
    <row r="925" spans="1:4" x14ac:dyDescent="0.35">
      <c r="A925" t="s">
        <v>166</v>
      </c>
      <c r="B925" t="s">
        <v>86</v>
      </c>
      <c r="C925" s="64" t="s">
        <v>504</v>
      </c>
      <c r="D925" s="197" t="str">
        <f ca="1">'unit calc'!A44</f>
        <v>flame thrower team_85</v>
      </c>
    </row>
    <row r="926" spans="1:4" x14ac:dyDescent="0.35">
      <c r="A926" t="s">
        <v>166</v>
      </c>
      <c r="B926" t="s">
        <v>86</v>
      </c>
      <c r="C926" s="64" t="s">
        <v>504</v>
      </c>
      <c r="D926" s="197" t="str">
        <f ca="1">'unit calc'!A45</f>
        <v>mortar team_98</v>
      </c>
    </row>
    <row r="927" spans="1:4" x14ac:dyDescent="0.35">
      <c r="A927" t="s">
        <v>166</v>
      </c>
      <c r="B927" t="s">
        <v>86</v>
      </c>
      <c r="C927" t="str">
        <f>I3</f>
        <v>feild_gun</v>
      </c>
      <c r="D927" s="197" t="str">
        <f ca="1">'unit calc'!A186</f>
        <v>20mm type 2_48</v>
      </c>
    </row>
    <row r="928" spans="1:4" x14ac:dyDescent="0.35">
      <c r="A928" t="s">
        <v>166</v>
      </c>
      <c r="B928" t="s">
        <v>86</v>
      </c>
      <c r="C928" t="str">
        <f>I3</f>
        <v>feild_gun</v>
      </c>
      <c r="D928" s="197" t="str">
        <f ca="1">'unit calc'!A187</f>
        <v>37mm type 94_32</v>
      </c>
    </row>
    <row r="929" spans="1:4" x14ac:dyDescent="0.35">
      <c r="A929" t="s">
        <v>166</v>
      </c>
      <c r="B929" t="s">
        <v>86</v>
      </c>
      <c r="C929" t="str">
        <f>I3</f>
        <v>feild_gun</v>
      </c>
      <c r="D929" s="197" t="str">
        <f ca="1">'unit calc'!A188</f>
        <v>75mm type 88_84</v>
      </c>
    </row>
    <row r="930" spans="1:4" x14ac:dyDescent="0.35">
      <c r="A930" t="s">
        <v>166</v>
      </c>
      <c r="B930" t="s">
        <v>86</v>
      </c>
      <c r="C930" s="13" t="s">
        <v>365</v>
      </c>
      <c r="D930" s="197" t="str">
        <f ca="1">'unit calc'!A216</f>
        <v>20mm type 2_152</v>
      </c>
    </row>
    <row r="931" spans="1:4" x14ac:dyDescent="0.35">
      <c r="A931" t="s">
        <v>166</v>
      </c>
      <c r="B931" t="s">
        <v>86</v>
      </c>
      <c r="C931" s="13" t="s">
        <v>365</v>
      </c>
      <c r="D931" s="197" t="str">
        <f ca="1">'unit calc'!A217</f>
        <v>37mm type 94_136</v>
      </c>
    </row>
    <row r="932" spans="1:4" x14ac:dyDescent="0.35">
      <c r="A932" t="s">
        <v>166</v>
      </c>
      <c r="B932" t="s">
        <v>86</v>
      </c>
      <c r="C932" s="13" t="s">
        <v>365</v>
      </c>
      <c r="D932" s="197" t="str">
        <f ca="1">'unit calc'!A218</f>
        <v>75mm type 88_201</v>
      </c>
    </row>
    <row r="933" spans="1:4" x14ac:dyDescent="0.35">
      <c r="A933" t="s">
        <v>166</v>
      </c>
      <c r="B933" t="s">
        <v>86</v>
      </c>
      <c r="C933" s="13" t="s">
        <v>50</v>
      </c>
      <c r="D933" s="197" t="str">
        <f ca="1">'unit calc'!A57</f>
        <v>jeep_16</v>
      </c>
    </row>
    <row r="934" spans="1:4" x14ac:dyDescent="0.35">
      <c r="A934" t="s">
        <v>166</v>
      </c>
      <c r="B934" t="s">
        <v>86</v>
      </c>
      <c r="C934" s="13" t="s">
        <v>50</v>
      </c>
      <c r="D934" s="197" t="str">
        <f ca="1">'unit calc'!A58</f>
        <v>truck_34</v>
      </c>
    </row>
    <row r="935" spans="1:4" x14ac:dyDescent="0.35">
      <c r="A935" t="s">
        <v>166</v>
      </c>
      <c r="B935" t="s">
        <v>86</v>
      </c>
      <c r="C935" s="13" t="s">
        <v>50</v>
      </c>
      <c r="D935" s="197" t="str">
        <f ca="1">'unit calc'!A60</f>
        <v>armoured car_95</v>
      </c>
    </row>
    <row r="936" spans="1:4" x14ac:dyDescent="0.35">
      <c r="A936" t="s">
        <v>166</v>
      </c>
      <c r="B936" t="s">
        <v>13</v>
      </c>
      <c r="C936" s="64" t="s">
        <v>368</v>
      </c>
      <c r="D936" s="197" t="str">
        <f ca="1">'unit calc'!A32</f>
        <v>rifle squad_250</v>
      </c>
    </row>
    <row r="937" spans="1:4" x14ac:dyDescent="0.35">
      <c r="A937" t="s">
        <v>166</v>
      </c>
      <c r="B937" t="s">
        <v>13</v>
      </c>
      <c r="C937" s="64" t="s">
        <v>368</v>
      </c>
      <c r="D937" s="197" t="str">
        <f ca="1">'unit calc'!A33</f>
        <v>assault squad_205</v>
      </c>
    </row>
    <row r="938" spans="1:4" x14ac:dyDescent="0.35">
      <c r="A938" t="s">
        <v>166</v>
      </c>
      <c r="B938" t="s">
        <v>13</v>
      </c>
      <c r="C938" s="64" t="s">
        <v>368</v>
      </c>
      <c r="D938" s="197" t="str">
        <f ca="1">'unit calc'!A34</f>
        <v>gun squad_243</v>
      </c>
    </row>
    <row r="939" spans="1:4" x14ac:dyDescent="0.35">
      <c r="A939" t="s">
        <v>166</v>
      </c>
      <c r="B939" t="s">
        <v>13</v>
      </c>
      <c r="C939" s="64" t="s">
        <v>368</v>
      </c>
      <c r="D939" s="197" t="str">
        <f ca="1">'unit calc'!A35</f>
        <v>recon squad_171</v>
      </c>
    </row>
    <row r="940" spans="1:4" x14ac:dyDescent="0.35">
      <c r="A940" t="s">
        <v>166</v>
      </c>
      <c r="B940" t="s">
        <v>13</v>
      </c>
      <c r="C940" s="64" t="s">
        <v>106</v>
      </c>
      <c r="D940" s="197" t="str">
        <f ca="1">'unit calc'!A129</f>
        <v>mortar squad_209</v>
      </c>
    </row>
    <row r="941" spans="1:4" x14ac:dyDescent="0.35">
      <c r="A941" t="s">
        <v>166</v>
      </c>
      <c r="B941" t="s">
        <v>13</v>
      </c>
      <c r="C941" s="64" t="s">
        <v>106</v>
      </c>
      <c r="D941" s="197" t="str">
        <f ca="1">'unit calc'!A130</f>
        <v>mortar x2 squad_261</v>
      </c>
    </row>
    <row r="942" spans="1:4" x14ac:dyDescent="0.35">
      <c r="A942" t="s">
        <v>166</v>
      </c>
      <c r="B942" t="s">
        <v>13</v>
      </c>
      <c r="C942" s="64" t="s">
        <v>106</v>
      </c>
      <c r="D942" s="197" t="str">
        <f ca="1">'unit calc'!A131</f>
        <v>MPAT squad_179</v>
      </c>
    </row>
    <row r="943" spans="1:4" x14ac:dyDescent="0.35">
      <c r="A943" t="s">
        <v>166</v>
      </c>
      <c r="B943" t="s">
        <v>13</v>
      </c>
      <c r="C943" s="64" t="s">
        <v>106</v>
      </c>
      <c r="D943" s="197" t="str">
        <f ca="1">'unit calc'!A132</f>
        <v>MPAT x2 squad_201</v>
      </c>
    </row>
    <row r="944" spans="1:4" x14ac:dyDescent="0.35">
      <c r="A944" t="s">
        <v>166</v>
      </c>
      <c r="B944" t="s">
        <v>13</v>
      </c>
      <c r="C944" s="64" t="s">
        <v>106</v>
      </c>
      <c r="D944" s="197" t="str">
        <f ca="1">'unit calc'!A133</f>
        <v>MMG squad_186</v>
      </c>
    </row>
    <row r="945" spans="1:4" x14ac:dyDescent="0.35">
      <c r="A945" t="s">
        <v>166</v>
      </c>
      <c r="B945" t="s">
        <v>13</v>
      </c>
      <c r="C945" s="64" t="s">
        <v>106</v>
      </c>
      <c r="D945" s="197" t="str">
        <f ca="1">'unit calc'!A134</f>
        <v>MMG x2 squad_215</v>
      </c>
    </row>
    <row r="946" spans="1:4" x14ac:dyDescent="0.35">
      <c r="A946" t="s">
        <v>166</v>
      </c>
      <c r="B946" t="s">
        <v>13</v>
      </c>
      <c r="C946" s="64" t="s">
        <v>106</v>
      </c>
      <c r="D946" s="197" t="str">
        <f ca="1">'unit calc'!A135</f>
        <v>MMG, HMG squad_222</v>
      </c>
    </row>
    <row r="947" spans="1:4" x14ac:dyDescent="0.35">
      <c r="A947" t="s">
        <v>166</v>
      </c>
      <c r="B947" t="s">
        <v>13</v>
      </c>
      <c r="C947" s="64" t="s">
        <v>106</v>
      </c>
      <c r="D947" s="197" t="str">
        <f ca="1">'unit calc'!A136</f>
        <v>HMG_193</v>
      </c>
    </row>
    <row r="948" spans="1:4" x14ac:dyDescent="0.35">
      <c r="A948" t="s">
        <v>166</v>
      </c>
      <c r="B948" t="s">
        <v>13</v>
      </c>
      <c r="C948" s="64" t="s">
        <v>106</v>
      </c>
      <c r="D948" s="197" t="str">
        <f ca="1">'unit calc'!A137</f>
        <v>HMG x2 squad_229</v>
      </c>
    </row>
    <row r="949" spans="1:4" x14ac:dyDescent="0.35">
      <c r="A949" t="s">
        <v>166</v>
      </c>
      <c r="B949" t="s">
        <v>13</v>
      </c>
      <c r="C949" s="64" t="s">
        <v>106</v>
      </c>
      <c r="D949" s="197" t="str">
        <f ca="1">'unit calc'!A138</f>
        <v>flame squad_196</v>
      </c>
    </row>
    <row r="950" spans="1:4" x14ac:dyDescent="0.35">
      <c r="A950" t="s">
        <v>166</v>
      </c>
      <c r="B950" t="s">
        <v>13</v>
      </c>
      <c r="C950" s="64" t="s">
        <v>106</v>
      </c>
      <c r="D950" s="197" t="str">
        <f ca="1">'unit calc'!A139</f>
        <v>FLAME x2 squad_235</v>
      </c>
    </row>
    <row r="951" spans="1:4" x14ac:dyDescent="0.35">
      <c r="A951" t="s">
        <v>166</v>
      </c>
      <c r="B951" t="s">
        <v>13</v>
      </c>
      <c r="C951" s="64" t="s">
        <v>106</v>
      </c>
      <c r="D951" s="197" t="str">
        <f ca="1">'unit calc'!A140</f>
        <v>marksman squad_184</v>
      </c>
    </row>
    <row r="952" spans="1:4" x14ac:dyDescent="0.35">
      <c r="A952" t="s">
        <v>166</v>
      </c>
      <c r="B952" t="s">
        <v>13</v>
      </c>
      <c r="C952" s="64" t="s">
        <v>106</v>
      </c>
      <c r="D952" s="197" t="str">
        <f ca="1">'unit calc'!A141</f>
        <v>marksman x2 squad_211</v>
      </c>
    </row>
    <row r="953" spans="1:4" x14ac:dyDescent="0.35">
      <c r="A953" t="s">
        <v>166</v>
      </c>
      <c r="B953" t="s">
        <v>13</v>
      </c>
      <c r="C953" s="64" t="str">
        <f>G5</f>
        <v>special_forces_1</v>
      </c>
      <c r="D953" s="197" t="str">
        <f ca="1">'unit calc'!A226</f>
        <v>experienced, _72</v>
      </c>
    </row>
    <row r="954" spans="1:4" x14ac:dyDescent="0.35">
      <c r="A954" t="s">
        <v>166</v>
      </c>
      <c r="B954" t="s">
        <v>13</v>
      </c>
      <c r="C954" s="64" t="s">
        <v>504</v>
      </c>
      <c r="D954" s="197" t="str">
        <f ca="1">'unit calc'!A40</f>
        <v>mmg team_75</v>
      </c>
    </row>
    <row r="955" spans="1:4" x14ac:dyDescent="0.35">
      <c r="A955" t="s">
        <v>166</v>
      </c>
      <c r="B955" t="s">
        <v>13</v>
      </c>
      <c r="C955" s="64" t="s">
        <v>504</v>
      </c>
      <c r="D955" s="197" t="str">
        <f ca="1">'unit calc'!A41</f>
        <v>hmg team_82</v>
      </c>
    </row>
    <row r="956" spans="1:4" x14ac:dyDescent="0.35">
      <c r="A956" t="s">
        <v>166</v>
      </c>
      <c r="B956" t="s">
        <v>13</v>
      </c>
      <c r="C956" s="64" t="s">
        <v>504</v>
      </c>
      <c r="D956" s="197" t="str">
        <f ca="1">'unit calc'!A42</f>
        <v>sniper_60</v>
      </c>
    </row>
    <row r="957" spans="1:4" x14ac:dyDescent="0.35">
      <c r="A957" t="s">
        <v>166</v>
      </c>
      <c r="B957" t="s">
        <v>13</v>
      </c>
      <c r="C957" s="64" t="s">
        <v>504</v>
      </c>
      <c r="D957" s="197" t="str">
        <f ca="1">'unit calc'!A43</f>
        <v>mpat team_68</v>
      </c>
    </row>
    <row r="958" spans="1:4" x14ac:dyDescent="0.35">
      <c r="A958" t="s">
        <v>166</v>
      </c>
      <c r="B958" t="s">
        <v>13</v>
      </c>
      <c r="C958" s="64" t="s">
        <v>504</v>
      </c>
      <c r="D958" s="197" t="str">
        <f ca="1">'unit calc'!A44</f>
        <v>flame thrower team_85</v>
      </c>
    </row>
    <row r="959" spans="1:4" x14ac:dyDescent="0.35">
      <c r="A959" t="s">
        <v>166</v>
      </c>
      <c r="B959" t="s">
        <v>13</v>
      </c>
      <c r="C959" s="64" t="s">
        <v>504</v>
      </c>
      <c r="D959" s="197" t="str">
        <f ca="1">'unit calc'!A45</f>
        <v>mortar team_98</v>
      </c>
    </row>
    <row r="960" spans="1:4" x14ac:dyDescent="0.35">
      <c r="A960" t="s">
        <v>166</v>
      </c>
      <c r="B960" t="s">
        <v>13</v>
      </c>
      <c r="C960" t="str">
        <f>I3</f>
        <v>feild_gun</v>
      </c>
      <c r="D960" s="197" t="str">
        <f ca="1">'unit calc'!A186</f>
        <v>20mm type 2_48</v>
      </c>
    </row>
    <row r="961" spans="1:4" x14ac:dyDescent="0.35">
      <c r="A961" t="s">
        <v>166</v>
      </c>
      <c r="B961" t="s">
        <v>13</v>
      </c>
      <c r="C961" t="str">
        <f>I3</f>
        <v>feild_gun</v>
      </c>
      <c r="D961" s="197" t="str">
        <f ca="1">'unit calc'!A187</f>
        <v>37mm type 94_32</v>
      </c>
    </row>
    <row r="962" spans="1:4" x14ac:dyDescent="0.35">
      <c r="A962" t="s">
        <v>166</v>
      </c>
      <c r="B962" t="s">
        <v>13</v>
      </c>
      <c r="C962" t="str">
        <f>I3</f>
        <v>feild_gun</v>
      </c>
      <c r="D962" s="197" t="str">
        <f ca="1">'unit calc'!A188</f>
        <v>75mm type 88_84</v>
      </c>
    </row>
    <row r="963" spans="1:4" x14ac:dyDescent="0.35">
      <c r="A963" t="s">
        <v>166</v>
      </c>
      <c r="B963" t="s">
        <v>13</v>
      </c>
      <c r="C963" s="13" t="s">
        <v>365</v>
      </c>
      <c r="D963" s="197" t="str">
        <f ca="1">'unit calc'!A216</f>
        <v>20mm type 2_152</v>
      </c>
    </row>
    <row r="964" spans="1:4" x14ac:dyDescent="0.35">
      <c r="A964" t="s">
        <v>166</v>
      </c>
      <c r="B964" t="s">
        <v>13</v>
      </c>
      <c r="C964" s="13" t="s">
        <v>365</v>
      </c>
      <c r="D964" s="197" t="str">
        <f ca="1">'unit calc'!A217</f>
        <v>37mm type 94_136</v>
      </c>
    </row>
    <row r="965" spans="1:4" x14ac:dyDescent="0.35">
      <c r="A965" t="s">
        <v>166</v>
      </c>
      <c r="B965" t="s">
        <v>13</v>
      </c>
      <c r="C965" s="13" t="s">
        <v>365</v>
      </c>
      <c r="D965" s="197" t="str">
        <f ca="1">'unit calc'!A218</f>
        <v>75mm type 88_201</v>
      </c>
    </row>
    <row r="966" spans="1:4" x14ac:dyDescent="0.35">
      <c r="A966" t="s">
        <v>166</v>
      </c>
      <c r="B966" t="s">
        <v>13</v>
      </c>
      <c r="C966" s="13" t="s">
        <v>50</v>
      </c>
      <c r="D966" s="197" t="str">
        <f ca="1">'unit calc'!A57</f>
        <v>jeep_16</v>
      </c>
    </row>
    <row r="967" spans="1:4" x14ac:dyDescent="0.35">
      <c r="A967" t="s">
        <v>166</v>
      </c>
      <c r="B967" t="s">
        <v>13</v>
      </c>
      <c r="C967" s="13" t="s">
        <v>50</v>
      </c>
      <c r="D967" s="197" t="str">
        <f ca="1">'unit calc'!A58</f>
        <v>truck_34</v>
      </c>
    </row>
    <row r="968" spans="1:4" x14ac:dyDescent="0.35">
      <c r="A968" t="s">
        <v>166</v>
      </c>
      <c r="B968" t="s">
        <v>13</v>
      </c>
      <c r="C968" s="13" t="s">
        <v>50</v>
      </c>
      <c r="D968" s="197" t="str">
        <f ca="1">'unit calc'!A60</f>
        <v>armoured car_95</v>
      </c>
    </row>
    <row r="969" spans="1:4" x14ac:dyDescent="0.35">
      <c r="A969" t="s">
        <v>166</v>
      </c>
      <c r="B969" t="s">
        <v>13</v>
      </c>
      <c r="C969" s="13" t="s">
        <v>50</v>
      </c>
      <c r="D969" s="197" t="str">
        <f ca="1">'unit calc'!A61</f>
        <v>half track_89</v>
      </c>
    </row>
    <row r="970" spans="1:4" x14ac:dyDescent="0.35">
      <c r="A970" t="s">
        <v>166</v>
      </c>
      <c r="B970" t="s">
        <v>13</v>
      </c>
      <c r="C970" s="13" t="s">
        <v>50</v>
      </c>
      <c r="D970" s="197" t="str">
        <f ca="1">'unit calc'!A66</f>
        <v>Chi-ha_210</v>
      </c>
    </row>
    <row r="971" spans="1:4" x14ac:dyDescent="0.35">
      <c r="A971" t="s">
        <v>166</v>
      </c>
      <c r="B971" t="s">
        <v>13</v>
      </c>
      <c r="C971" s="13" t="s">
        <v>374</v>
      </c>
      <c r="D971" s="197" t="str">
        <f ca="1">'unit calc'!A66</f>
        <v>Chi-ha_210</v>
      </c>
    </row>
    <row r="972" spans="1:4" x14ac:dyDescent="0.35">
      <c r="A972" t="s">
        <v>166</v>
      </c>
      <c r="B972" t="s">
        <v>373</v>
      </c>
      <c r="C972" s="64" t="s">
        <v>368</v>
      </c>
      <c r="D972" s="197" t="str">
        <f ca="1">'unit calc'!A32</f>
        <v>rifle squad_250</v>
      </c>
    </row>
    <row r="973" spans="1:4" x14ac:dyDescent="0.35">
      <c r="A973" t="s">
        <v>166</v>
      </c>
      <c r="B973" t="s">
        <v>373</v>
      </c>
      <c r="C973" s="64" t="s">
        <v>368</v>
      </c>
      <c r="D973" s="197" t="str">
        <f ca="1">'unit calc'!A33</f>
        <v>assault squad_205</v>
      </c>
    </row>
    <row r="974" spans="1:4" x14ac:dyDescent="0.35">
      <c r="A974" t="s">
        <v>166</v>
      </c>
      <c r="B974" t="s">
        <v>373</v>
      </c>
      <c r="C974" s="64" t="s">
        <v>368</v>
      </c>
      <c r="D974" s="197" t="str">
        <f ca="1">'unit calc'!A34</f>
        <v>gun squad_243</v>
      </c>
    </row>
    <row r="975" spans="1:4" x14ac:dyDescent="0.35">
      <c r="A975" t="s">
        <v>166</v>
      </c>
      <c r="B975" t="s">
        <v>373</v>
      </c>
      <c r="C975" s="64" t="s">
        <v>368</v>
      </c>
      <c r="D975" s="197" t="str">
        <f ca="1">'unit calc'!A35</f>
        <v>recon squad_171</v>
      </c>
    </row>
    <row r="976" spans="1:4" x14ac:dyDescent="0.35">
      <c r="A976" t="s">
        <v>166</v>
      </c>
      <c r="B976" t="s">
        <v>373</v>
      </c>
      <c r="C976" s="64" t="s">
        <v>106</v>
      </c>
      <c r="D976" s="197" t="str">
        <f ca="1">'unit calc'!A129</f>
        <v>mortar squad_209</v>
      </c>
    </row>
    <row r="977" spans="1:4" x14ac:dyDescent="0.35">
      <c r="A977" t="s">
        <v>166</v>
      </c>
      <c r="B977" t="s">
        <v>373</v>
      </c>
      <c r="C977" s="64" t="s">
        <v>106</v>
      </c>
      <c r="D977" s="197" t="str">
        <f ca="1">'unit calc'!A130</f>
        <v>mortar x2 squad_261</v>
      </c>
    </row>
    <row r="978" spans="1:4" x14ac:dyDescent="0.35">
      <c r="A978" t="s">
        <v>166</v>
      </c>
      <c r="B978" t="s">
        <v>373</v>
      </c>
      <c r="C978" s="64" t="s">
        <v>106</v>
      </c>
      <c r="D978" s="197" t="str">
        <f ca="1">'unit calc'!A131</f>
        <v>MPAT squad_179</v>
      </c>
    </row>
    <row r="979" spans="1:4" x14ac:dyDescent="0.35">
      <c r="A979" t="s">
        <v>166</v>
      </c>
      <c r="B979" t="s">
        <v>373</v>
      </c>
      <c r="C979" s="64" t="s">
        <v>106</v>
      </c>
      <c r="D979" s="197" t="str">
        <f ca="1">'unit calc'!A132</f>
        <v>MPAT x2 squad_201</v>
      </c>
    </row>
    <row r="980" spans="1:4" x14ac:dyDescent="0.35">
      <c r="A980" t="s">
        <v>166</v>
      </c>
      <c r="B980" t="s">
        <v>373</v>
      </c>
      <c r="C980" s="64" t="s">
        <v>106</v>
      </c>
      <c r="D980" s="197" t="str">
        <f ca="1">'unit calc'!A133</f>
        <v>MMG squad_186</v>
      </c>
    </row>
    <row r="981" spans="1:4" x14ac:dyDescent="0.35">
      <c r="A981" t="s">
        <v>166</v>
      </c>
      <c r="B981" t="s">
        <v>373</v>
      </c>
      <c r="C981" s="64" t="s">
        <v>106</v>
      </c>
      <c r="D981" s="197" t="str">
        <f ca="1">'unit calc'!A134</f>
        <v>MMG x2 squad_215</v>
      </c>
    </row>
    <row r="982" spans="1:4" x14ac:dyDescent="0.35">
      <c r="A982" t="s">
        <v>166</v>
      </c>
      <c r="B982" t="s">
        <v>373</v>
      </c>
      <c r="C982" s="64" t="s">
        <v>106</v>
      </c>
      <c r="D982" s="197" t="str">
        <f ca="1">'unit calc'!A135</f>
        <v>MMG, HMG squad_222</v>
      </c>
    </row>
    <row r="983" spans="1:4" x14ac:dyDescent="0.35">
      <c r="A983" t="s">
        <v>166</v>
      </c>
      <c r="B983" t="s">
        <v>373</v>
      </c>
      <c r="C983" s="64" t="s">
        <v>106</v>
      </c>
      <c r="D983" s="197" t="str">
        <f ca="1">'unit calc'!A136</f>
        <v>HMG_193</v>
      </c>
    </row>
    <row r="984" spans="1:4" x14ac:dyDescent="0.35">
      <c r="A984" t="s">
        <v>166</v>
      </c>
      <c r="B984" t="s">
        <v>373</v>
      </c>
      <c r="C984" s="64" t="s">
        <v>106</v>
      </c>
      <c r="D984" s="197" t="str">
        <f ca="1">'unit calc'!A137</f>
        <v>HMG x2 squad_229</v>
      </c>
    </row>
    <row r="985" spans="1:4" x14ac:dyDescent="0.35">
      <c r="A985" t="s">
        <v>166</v>
      </c>
      <c r="B985" t="s">
        <v>373</v>
      </c>
      <c r="C985" s="64" t="s">
        <v>106</v>
      </c>
      <c r="D985" s="197" t="str">
        <f ca="1">'unit calc'!A138</f>
        <v>flame squad_196</v>
      </c>
    </row>
    <row r="986" spans="1:4" x14ac:dyDescent="0.35">
      <c r="A986" t="s">
        <v>166</v>
      </c>
      <c r="B986" t="s">
        <v>373</v>
      </c>
      <c r="C986" s="64" t="s">
        <v>106</v>
      </c>
      <c r="D986" s="197" t="str">
        <f ca="1">'unit calc'!A139</f>
        <v>FLAME x2 squad_235</v>
      </c>
    </row>
    <row r="987" spans="1:4" x14ac:dyDescent="0.35">
      <c r="A987" t="s">
        <v>166</v>
      </c>
      <c r="B987" t="s">
        <v>373</v>
      </c>
      <c r="C987" s="64" t="s">
        <v>106</v>
      </c>
      <c r="D987" s="197" t="str">
        <f ca="1">'unit calc'!A140</f>
        <v>marksman squad_184</v>
      </c>
    </row>
    <row r="988" spans="1:4" x14ac:dyDescent="0.35">
      <c r="A988" t="s">
        <v>166</v>
      </c>
      <c r="B988" t="s">
        <v>373</v>
      </c>
      <c r="C988" s="64" t="s">
        <v>106</v>
      </c>
      <c r="D988" s="197" t="str">
        <f ca="1">'unit calc'!A141</f>
        <v>marksman x2 squad_211</v>
      </c>
    </row>
    <row r="989" spans="1:4" x14ac:dyDescent="0.35">
      <c r="A989" t="s">
        <v>166</v>
      </c>
      <c r="B989" t="s">
        <v>373</v>
      </c>
      <c r="C989" s="64" t="str">
        <f>G5</f>
        <v>special_forces_1</v>
      </c>
      <c r="D989" s="197" t="str">
        <f ca="1">'unit calc'!A226</f>
        <v>experienced, _72</v>
      </c>
    </row>
    <row r="990" spans="1:4" x14ac:dyDescent="0.35">
      <c r="A990" t="s">
        <v>166</v>
      </c>
      <c r="B990" t="s">
        <v>373</v>
      </c>
      <c r="C990" s="64" t="str">
        <f t="shared" ref="C990:C991" si="10">G6</f>
        <v>special_forces_2</v>
      </c>
      <c r="D990" s="197" t="str">
        <f ca="1">'unit calc'!A227</f>
        <v>experienced, _72</v>
      </c>
    </row>
    <row r="991" spans="1:4" x14ac:dyDescent="0.35">
      <c r="A991" t="s">
        <v>166</v>
      </c>
      <c r="B991" t="s">
        <v>373</v>
      </c>
      <c r="C991" s="64" t="str">
        <f t="shared" si="10"/>
        <v>special_forces_3</v>
      </c>
      <c r="D991" s="197" t="str">
        <f ca="1">'unit calc'!A228</f>
        <v>conscript, _59</v>
      </c>
    </row>
    <row r="992" spans="1:4" x14ac:dyDescent="0.35">
      <c r="A992" t="s">
        <v>166</v>
      </c>
      <c r="B992" t="s">
        <v>373</v>
      </c>
      <c r="C992" s="64" t="s">
        <v>504</v>
      </c>
      <c r="D992" s="197" t="str">
        <f ca="1">'unit calc'!A40</f>
        <v>mmg team_75</v>
      </c>
    </row>
    <row r="993" spans="1:4" x14ac:dyDescent="0.35">
      <c r="A993" t="s">
        <v>166</v>
      </c>
      <c r="B993" t="s">
        <v>373</v>
      </c>
      <c r="C993" s="64" t="s">
        <v>504</v>
      </c>
      <c r="D993" s="197" t="str">
        <f ca="1">'unit calc'!A41</f>
        <v>hmg team_82</v>
      </c>
    </row>
    <row r="994" spans="1:4" x14ac:dyDescent="0.35">
      <c r="A994" t="s">
        <v>166</v>
      </c>
      <c r="B994" t="s">
        <v>373</v>
      </c>
      <c r="C994" s="64" t="s">
        <v>504</v>
      </c>
      <c r="D994" s="197" t="str">
        <f ca="1">'unit calc'!A42</f>
        <v>sniper_60</v>
      </c>
    </row>
    <row r="995" spans="1:4" x14ac:dyDescent="0.35">
      <c r="A995" t="s">
        <v>166</v>
      </c>
      <c r="B995" t="s">
        <v>373</v>
      </c>
      <c r="C995" s="64" t="s">
        <v>504</v>
      </c>
      <c r="D995" s="197" t="str">
        <f ca="1">'unit calc'!A43</f>
        <v>mpat team_68</v>
      </c>
    </row>
    <row r="996" spans="1:4" x14ac:dyDescent="0.35">
      <c r="A996" t="s">
        <v>166</v>
      </c>
      <c r="B996" t="s">
        <v>373</v>
      </c>
      <c r="C996" s="64" t="s">
        <v>504</v>
      </c>
      <c r="D996" s="197" t="str">
        <f ca="1">'unit calc'!A44</f>
        <v>flame thrower team_85</v>
      </c>
    </row>
    <row r="997" spans="1:4" x14ac:dyDescent="0.35">
      <c r="A997" t="s">
        <v>166</v>
      </c>
      <c r="B997" t="s">
        <v>373</v>
      </c>
      <c r="C997" s="64" t="s">
        <v>504</v>
      </c>
      <c r="D997" s="197" t="str">
        <f ca="1">'unit calc'!A45</f>
        <v>mortar team_98</v>
      </c>
    </row>
    <row r="998" spans="1:4" x14ac:dyDescent="0.35">
      <c r="A998" t="s">
        <v>166</v>
      </c>
      <c r="B998" t="s">
        <v>98</v>
      </c>
      <c r="C998" s="64" t="s">
        <v>368</v>
      </c>
      <c r="D998" s="197" t="str">
        <f ca="1">'unit calc'!A32</f>
        <v>rifle squad_250</v>
      </c>
    </row>
    <row r="999" spans="1:4" x14ac:dyDescent="0.35">
      <c r="A999" t="s">
        <v>166</v>
      </c>
      <c r="B999" t="s">
        <v>98</v>
      </c>
      <c r="C999" s="64" t="s">
        <v>368</v>
      </c>
      <c r="D999" s="197" t="str">
        <f ca="1">'unit calc'!A33</f>
        <v>assault squad_205</v>
      </c>
    </row>
    <row r="1000" spans="1:4" x14ac:dyDescent="0.35">
      <c r="A1000" t="s">
        <v>166</v>
      </c>
      <c r="B1000" t="s">
        <v>98</v>
      </c>
      <c r="C1000" s="64" t="s">
        <v>368</v>
      </c>
      <c r="D1000" s="197" t="str">
        <f ca="1">'unit calc'!A34</f>
        <v>gun squad_243</v>
      </c>
    </row>
    <row r="1001" spans="1:4" x14ac:dyDescent="0.35">
      <c r="A1001" t="s">
        <v>166</v>
      </c>
      <c r="B1001" t="s">
        <v>98</v>
      </c>
      <c r="C1001" s="64" t="s">
        <v>368</v>
      </c>
      <c r="D1001" s="197" t="str">
        <f ca="1">'unit calc'!A35</f>
        <v>recon squad_171</v>
      </c>
    </row>
    <row r="1002" spans="1:4" x14ac:dyDescent="0.35">
      <c r="A1002" t="s">
        <v>166</v>
      </c>
      <c r="B1002" t="s">
        <v>98</v>
      </c>
      <c r="C1002" s="64" t="s">
        <v>106</v>
      </c>
      <c r="D1002" s="197" t="str">
        <f ca="1">'unit calc'!A129</f>
        <v>mortar squad_209</v>
      </c>
    </row>
    <row r="1003" spans="1:4" x14ac:dyDescent="0.35">
      <c r="A1003" t="s">
        <v>166</v>
      </c>
      <c r="B1003" t="s">
        <v>98</v>
      </c>
      <c r="C1003" s="64" t="s">
        <v>106</v>
      </c>
      <c r="D1003" s="197" t="str">
        <f ca="1">'unit calc'!A130</f>
        <v>mortar x2 squad_261</v>
      </c>
    </row>
    <row r="1004" spans="1:4" x14ac:dyDescent="0.35">
      <c r="A1004" t="s">
        <v>166</v>
      </c>
      <c r="B1004" t="s">
        <v>98</v>
      </c>
      <c r="C1004" s="64" t="s">
        <v>106</v>
      </c>
      <c r="D1004" s="197" t="str">
        <f ca="1">'unit calc'!A131</f>
        <v>MPAT squad_179</v>
      </c>
    </row>
    <row r="1005" spans="1:4" x14ac:dyDescent="0.35">
      <c r="A1005" t="s">
        <v>166</v>
      </c>
      <c r="B1005" t="s">
        <v>98</v>
      </c>
      <c r="C1005" s="64" t="s">
        <v>106</v>
      </c>
      <c r="D1005" s="197" t="str">
        <f ca="1">'unit calc'!A132</f>
        <v>MPAT x2 squad_201</v>
      </c>
    </row>
    <row r="1006" spans="1:4" x14ac:dyDescent="0.35">
      <c r="A1006" t="s">
        <v>166</v>
      </c>
      <c r="B1006" t="s">
        <v>98</v>
      </c>
      <c r="C1006" s="64" t="s">
        <v>106</v>
      </c>
      <c r="D1006" s="197" t="str">
        <f ca="1">'unit calc'!A133</f>
        <v>MMG squad_186</v>
      </c>
    </row>
    <row r="1007" spans="1:4" x14ac:dyDescent="0.35">
      <c r="A1007" t="s">
        <v>166</v>
      </c>
      <c r="B1007" t="s">
        <v>98</v>
      </c>
      <c r="C1007" s="64" t="s">
        <v>106</v>
      </c>
      <c r="D1007" s="197" t="str">
        <f ca="1">'unit calc'!A134</f>
        <v>MMG x2 squad_215</v>
      </c>
    </row>
    <row r="1008" spans="1:4" x14ac:dyDescent="0.35">
      <c r="A1008" t="s">
        <v>166</v>
      </c>
      <c r="B1008" t="s">
        <v>98</v>
      </c>
      <c r="C1008" s="64" t="s">
        <v>106</v>
      </c>
      <c r="D1008" s="197" t="str">
        <f ca="1">'unit calc'!A135</f>
        <v>MMG, HMG squad_222</v>
      </c>
    </row>
    <row r="1009" spans="1:4" x14ac:dyDescent="0.35">
      <c r="A1009" t="s">
        <v>166</v>
      </c>
      <c r="B1009" t="s">
        <v>98</v>
      </c>
      <c r="C1009" s="64" t="s">
        <v>106</v>
      </c>
      <c r="D1009" s="197" t="str">
        <f ca="1">'unit calc'!A136</f>
        <v>HMG_193</v>
      </c>
    </row>
    <row r="1010" spans="1:4" x14ac:dyDescent="0.35">
      <c r="A1010" t="s">
        <v>166</v>
      </c>
      <c r="B1010" t="s">
        <v>98</v>
      </c>
      <c r="C1010" s="64" t="s">
        <v>106</v>
      </c>
      <c r="D1010" s="197" t="str">
        <f ca="1">'unit calc'!A137</f>
        <v>HMG x2 squad_229</v>
      </c>
    </row>
    <row r="1011" spans="1:4" x14ac:dyDescent="0.35">
      <c r="A1011" t="s">
        <v>166</v>
      </c>
      <c r="B1011" t="s">
        <v>98</v>
      </c>
      <c r="C1011" s="64" t="s">
        <v>106</v>
      </c>
      <c r="D1011" s="197" t="str">
        <f ca="1">'unit calc'!A138</f>
        <v>flame squad_196</v>
      </c>
    </row>
    <row r="1012" spans="1:4" x14ac:dyDescent="0.35">
      <c r="A1012" t="s">
        <v>166</v>
      </c>
      <c r="B1012" t="s">
        <v>98</v>
      </c>
      <c r="C1012" s="64" t="s">
        <v>106</v>
      </c>
      <c r="D1012" s="197" t="str">
        <f ca="1">'unit calc'!A139</f>
        <v>FLAME x2 squad_235</v>
      </c>
    </row>
    <row r="1013" spans="1:4" x14ac:dyDescent="0.35">
      <c r="A1013" t="s">
        <v>166</v>
      </c>
      <c r="B1013" t="s">
        <v>98</v>
      </c>
      <c r="C1013" s="64" t="s">
        <v>106</v>
      </c>
      <c r="D1013" s="197" t="str">
        <f ca="1">'unit calc'!A140</f>
        <v>marksman squad_184</v>
      </c>
    </row>
    <row r="1014" spans="1:4" x14ac:dyDescent="0.35">
      <c r="A1014" t="s">
        <v>166</v>
      </c>
      <c r="B1014" t="s">
        <v>98</v>
      </c>
      <c r="C1014" s="64" t="s">
        <v>106</v>
      </c>
      <c r="D1014" s="197" t="str">
        <f ca="1">'unit calc'!A141</f>
        <v>marksman x2 squad_211</v>
      </c>
    </row>
    <row r="1015" spans="1:4" x14ac:dyDescent="0.35">
      <c r="A1015" t="s">
        <v>166</v>
      </c>
      <c r="B1015" t="s">
        <v>98</v>
      </c>
      <c r="C1015" s="64" t="str">
        <f>G5</f>
        <v>special_forces_1</v>
      </c>
      <c r="D1015" s="197" t="str">
        <f ca="1">'unit calc'!A226</f>
        <v>experienced, _72</v>
      </c>
    </row>
    <row r="1016" spans="1:4" x14ac:dyDescent="0.35">
      <c r="A1016" t="s">
        <v>166</v>
      </c>
      <c r="B1016" t="s">
        <v>98</v>
      </c>
      <c r="C1016" s="64" t="str">
        <f t="shared" ref="C1016:C1017" si="11">G6</f>
        <v>special_forces_2</v>
      </c>
      <c r="D1016" s="197" t="str">
        <f ca="1">'unit calc'!A227</f>
        <v>experienced, _72</v>
      </c>
    </row>
    <row r="1017" spans="1:4" x14ac:dyDescent="0.35">
      <c r="A1017" t="s">
        <v>166</v>
      </c>
      <c r="B1017" t="s">
        <v>98</v>
      </c>
      <c r="C1017" s="64" t="str">
        <f t="shared" si="11"/>
        <v>special_forces_3</v>
      </c>
      <c r="D1017" s="197" t="str">
        <f ca="1">'unit calc'!A228</f>
        <v>conscript, _59</v>
      </c>
    </row>
    <row r="1018" spans="1:4" x14ac:dyDescent="0.35">
      <c r="A1018" t="s">
        <v>166</v>
      </c>
      <c r="B1018" t="s">
        <v>98</v>
      </c>
      <c r="C1018" s="64" t="s">
        <v>504</v>
      </c>
      <c r="D1018" s="197" t="str">
        <f ca="1">'unit calc'!A40</f>
        <v>mmg team_75</v>
      </c>
    </row>
    <row r="1019" spans="1:4" x14ac:dyDescent="0.35">
      <c r="A1019" t="s">
        <v>166</v>
      </c>
      <c r="B1019" t="s">
        <v>98</v>
      </c>
      <c r="C1019" s="64" t="s">
        <v>504</v>
      </c>
      <c r="D1019" s="197" t="str">
        <f ca="1">'unit calc'!A41</f>
        <v>hmg team_82</v>
      </c>
    </row>
    <row r="1020" spans="1:4" x14ac:dyDescent="0.35">
      <c r="A1020" t="s">
        <v>166</v>
      </c>
      <c r="B1020" t="s">
        <v>98</v>
      </c>
      <c r="C1020" s="64" t="s">
        <v>504</v>
      </c>
      <c r="D1020" s="197" t="str">
        <f ca="1">'unit calc'!A42</f>
        <v>sniper_60</v>
      </c>
    </row>
    <row r="1021" spans="1:4" x14ac:dyDescent="0.35">
      <c r="A1021" t="s">
        <v>166</v>
      </c>
      <c r="B1021" t="s">
        <v>98</v>
      </c>
      <c r="C1021" s="64" t="s">
        <v>504</v>
      </c>
      <c r="D1021" s="197" t="str">
        <f ca="1">'unit calc'!A43</f>
        <v>mpat team_68</v>
      </c>
    </row>
    <row r="1022" spans="1:4" x14ac:dyDescent="0.35">
      <c r="A1022" t="s">
        <v>166</v>
      </c>
      <c r="B1022" t="s">
        <v>98</v>
      </c>
      <c r="C1022" s="64" t="s">
        <v>504</v>
      </c>
      <c r="D1022" s="197" t="str">
        <f ca="1">'unit calc'!A44</f>
        <v>flame thrower team_85</v>
      </c>
    </row>
    <row r="1023" spans="1:4" x14ac:dyDescent="0.35">
      <c r="A1023" t="s">
        <v>166</v>
      </c>
      <c r="B1023" t="s">
        <v>98</v>
      </c>
      <c r="C1023" s="64" t="s">
        <v>504</v>
      </c>
      <c r="D1023" s="197" t="str">
        <f ca="1">'unit calc'!A45</f>
        <v>mortar team_98</v>
      </c>
    </row>
    <row r="1024" spans="1:4" x14ac:dyDescent="0.35">
      <c r="A1024" t="s">
        <v>166</v>
      </c>
      <c r="B1024" t="s">
        <v>98</v>
      </c>
      <c r="C1024" t="str">
        <f>I3</f>
        <v>feild_gun</v>
      </c>
      <c r="D1024" s="197" t="str">
        <f ca="1">'unit calc'!A186</f>
        <v>20mm type 2_48</v>
      </c>
    </row>
    <row r="1025" spans="1:4" x14ac:dyDescent="0.35">
      <c r="A1025" t="s">
        <v>166</v>
      </c>
      <c r="B1025" t="s">
        <v>98</v>
      </c>
      <c r="C1025" t="str">
        <f>I3</f>
        <v>feild_gun</v>
      </c>
      <c r="D1025" s="197" t="str">
        <f ca="1">'unit calc'!A187</f>
        <v>37mm type 94_32</v>
      </c>
    </row>
    <row r="1026" spans="1:4" x14ac:dyDescent="0.35">
      <c r="A1026" t="s">
        <v>166</v>
      </c>
      <c r="B1026" t="s">
        <v>98</v>
      </c>
      <c r="C1026" t="str">
        <f>I3</f>
        <v>feild_gun</v>
      </c>
      <c r="D1026" s="197" t="str">
        <f ca="1">'unit calc'!A188</f>
        <v>75mm type 88_84</v>
      </c>
    </row>
    <row r="1027" spans="1:4" x14ac:dyDescent="0.35">
      <c r="A1027" t="s">
        <v>166</v>
      </c>
      <c r="B1027" t="s">
        <v>98</v>
      </c>
      <c r="C1027" s="13" t="s">
        <v>365</v>
      </c>
      <c r="D1027" s="197" t="str">
        <f ca="1">'unit calc'!A216</f>
        <v>20mm type 2_152</v>
      </c>
    </row>
    <row r="1028" spans="1:4" x14ac:dyDescent="0.35">
      <c r="A1028" t="s">
        <v>166</v>
      </c>
      <c r="B1028" t="s">
        <v>98</v>
      </c>
      <c r="C1028" s="13" t="s">
        <v>365</v>
      </c>
      <c r="D1028" s="197" t="str">
        <f ca="1">'unit calc'!A217</f>
        <v>37mm type 94_136</v>
      </c>
    </row>
    <row r="1029" spans="1:4" x14ac:dyDescent="0.35">
      <c r="A1029" t="s">
        <v>166</v>
      </c>
      <c r="B1029" t="s">
        <v>98</v>
      </c>
      <c r="C1029" s="13" t="s">
        <v>365</v>
      </c>
      <c r="D1029" s="197" t="str">
        <f ca="1">'unit calc'!A218</f>
        <v>75mm type 88_201</v>
      </c>
    </row>
    <row r="1030" spans="1:4" x14ac:dyDescent="0.35">
      <c r="A1030" t="s">
        <v>166</v>
      </c>
      <c r="B1030" t="s">
        <v>98</v>
      </c>
      <c r="C1030" s="13" t="s">
        <v>50</v>
      </c>
      <c r="D1030" s="197" t="str">
        <f ca="1">'unit calc'!A57</f>
        <v>jeep_16</v>
      </c>
    </row>
    <row r="1031" spans="1:4" x14ac:dyDescent="0.35">
      <c r="A1031" t="s">
        <v>166</v>
      </c>
      <c r="B1031" t="s">
        <v>98</v>
      </c>
      <c r="C1031" s="13" t="s">
        <v>50</v>
      </c>
      <c r="D1031" s="197" t="str">
        <f ca="1">'unit calc'!A58</f>
        <v>truck_34</v>
      </c>
    </row>
    <row r="1032" spans="1:4" x14ac:dyDescent="0.35">
      <c r="A1032" t="s">
        <v>166</v>
      </c>
      <c r="B1032" t="s">
        <v>98</v>
      </c>
      <c r="C1032" s="13" t="s">
        <v>50</v>
      </c>
      <c r="D1032" s="197" t="str">
        <f ca="1">'unit calc'!A59</f>
        <v>bren gun carrier_70</v>
      </c>
    </row>
    <row r="1033" spans="1:4" x14ac:dyDescent="0.35">
      <c r="A1033" t="s">
        <v>166</v>
      </c>
      <c r="B1033" t="s">
        <v>98</v>
      </c>
      <c r="C1033" s="13" t="s">
        <v>50</v>
      </c>
      <c r="D1033" s="197" t="str">
        <f ca="1">'unit calc'!A60</f>
        <v>armoured car_95</v>
      </c>
    </row>
    <row r="1034" spans="1:4" x14ac:dyDescent="0.35">
      <c r="A1034" t="s">
        <v>166</v>
      </c>
      <c r="B1034" t="s">
        <v>98</v>
      </c>
      <c r="C1034" s="64" t="s">
        <v>374</v>
      </c>
      <c r="D1034" s="197" t="str">
        <f ca="1">'unit calc'!A66</f>
        <v>Chi-ha_210</v>
      </c>
    </row>
    <row r="1035" spans="1:4" x14ac:dyDescent="0.35">
      <c r="A1035" t="s">
        <v>166</v>
      </c>
      <c r="B1035" t="s">
        <v>17</v>
      </c>
      <c r="C1035" s="64" t="s">
        <v>89</v>
      </c>
      <c r="D1035" s="197" t="str">
        <f ca="1">'unit calc'!A66</f>
        <v>Chi-ha_210</v>
      </c>
    </row>
    <row r="1036" spans="1:4" x14ac:dyDescent="0.35">
      <c r="A1036" t="s">
        <v>166</v>
      </c>
      <c r="B1036" t="s">
        <v>17</v>
      </c>
      <c r="C1036" s="64" t="s">
        <v>374</v>
      </c>
      <c r="D1036" s="197" t="str">
        <f ca="1">'unit calc'!A66</f>
        <v>Chi-ha_210</v>
      </c>
    </row>
    <row r="1037" spans="1:4" x14ac:dyDescent="0.35">
      <c r="D1037" s="197"/>
    </row>
    <row r="1038" spans="1:4" x14ac:dyDescent="0.35">
      <c r="D1038" s="197"/>
    </row>
    <row r="1039" spans="1:4" x14ac:dyDescent="0.35">
      <c r="D1039" s="197"/>
    </row>
    <row r="1040" spans="1:4" x14ac:dyDescent="0.35">
      <c r="D1040" s="197"/>
    </row>
    <row r="1041" spans="4:4" x14ac:dyDescent="0.35">
      <c r="D1041" s="197"/>
    </row>
    <row r="1042" spans="4:4" x14ac:dyDescent="0.35">
      <c r="D1042" s="197"/>
    </row>
    <row r="1043" spans="4:4" x14ac:dyDescent="0.35">
      <c r="D1043" s="197"/>
    </row>
    <row r="1044" spans="4:4" x14ac:dyDescent="0.35">
      <c r="D1044" s="197"/>
    </row>
    <row r="1045" spans="4:4" x14ac:dyDescent="0.35">
      <c r="D1045" s="197"/>
    </row>
    <row r="1046" spans="4:4" x14ac:dyDescent="0.35">
      <c r="D1046" s="197"/>
    </row>
    <row r="1047" spans="4:4" x14ac:dyDescent="0.35">
      <c r="D1047" s="197"/>
    </row>
    <row r="1048" spans="4:4" x14ac:dyDescent="0.35">
      <c r="D1048" s="197"/>
    </row>
    <row r="1049" spans="4:4" x14ac:dyDescent="0.35">
      <c r="D1049" s="197"/>
    </row>
    <row r="1050" spans="4:4" x14ac:dyDescent="0.35">
      <c r="D1050" s="197"/>
    </row>
    <row r="1051" spans="4:4" x14ac:dyDescent="0.35">
      <c r="D1051" s="197"/>
    </row>
    <row r="1052" spans="4:4" x14ac:dyDescent="0.35">
      <c r="D1052" s="197"/>
    </row>
    <row r="1053" spans="4:4" x14ac:dyDescent="0.35">
      <c r="D1053" s="197"/>
    </row>
    <row r="1054" spans="4:4" x14ac:dyDescent="0.35">
      <c r="D1054" s="197"/>
    </row>
    <row r="1055" spans="4:4" x14ac:dyDescent="0.35">
      <c r="D1055" s="197"/>
    </row>
    <row r="1056" spans="4:4" x14ac:dyDescent="0.35">
      <c r="D1056" s="197"/>
    </row>
    <row r="1057" spans="4:4" x14ac:dyDescent="0.35">
      <c r="D1057" s="19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buildlists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6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AN283"/>
  <sheetViews>
    <sheetView topLeftCell="A236" zoomScale="48" zoomScaleNormal="48" workbookViewId="0">
      <selection activeCell="K265" sqref="K265"/>
    </sheetView>
  </sheetViews>
  <sheetFormatPr defaultRowHeight="14.5" x14ac:dyDescent="0.35"/>
  <cols>
    <col min="1" max="1" width="24" customWidth="1"/>
    <col min="2" max="2" width="23.90625" bestFit="1" customWidth="1"/>
    <col min="3" max="3" width="48.6328125" customWidth="1"/>
    <col min="4" max="4" width="14" bestFit="1" customWidth="1"/>
    <col min="5" max="7" width="13.453125" customWidth="1"/>
    <col min="8" max="8" width="11.54296875" bestFit="1" customWidth="1"/>
    <col min="11" max="11" width="24.54296875" customWidth="1"/>
    <col min="12" max="12" width="18.453125" style="117" customWidth="1"/>
    <col min="13" max="15" width="10" style="117" customWidth="1"/>
    <col min="16" max="17" width="10" customWidth="1"/>
    <col min="18" max="18" width="10.54296875" customWidth="1"/>
    <col min="19" max="19" width="10" customWidth="1"/>
    <col min="20" max="20" width="10.6328125" style="117" customWidth="1"/>
    <col min="21" max="21" width="10.36328125" style="117" customWidth="1"/>
    <col min="22" max="22" width="10.6328125" customWidth="1"/>
    <col min="23" max="23" width="10.6328125" style="117" customWidth="1"/>
    <col min="24" max="25" width="10.6328125" customWidth="1"/>
    <col min="26" max="26" width="5.81640625" customWidth="1"/>
    <col min="27" max="27" width="18.08984375" customWidth="1"/>
  </cols>
  <sheetData>
    <row r="2" spans="1:22" x14ac:dyDescent="0.35">
      <c r="A2" s="1" t="s">
        <v>543</v>
      </c>
      <c r="B2" s="1" t="s">
        <v>152</v>
      </c>
      <c r="C2" s="1" t="s">
        <v>55</v>
      </c>
      <c r="D2" s="19" t="s">
        <v>265</v>
      </c>
      <c r="G2" s="1" t="s">
        <v>266</v>
      </c>
      <c r="L2" s="124" t="s">
        <v>268</v>
      </c>
    </row>
    <row r="3" spans="1:22" x14ac:dyDescent="0.35">
      <c r="A3" s="15" t="s">
        <v>34</v>
      </c>
      <c r="B3">
        <v>24</v>
      </c>
      <c r="C3" s="15">
        <v>1</v>
      </c>
      <c r="D3" s="15">
        <v>1</v>
      </c>
      <c r="F3" s="19" t="s">
        <v>11</v>
      </c>
      <c r="G3" s="15" t="s">
        <v>30</v>
      </c>
      <c r="H3" s="15" t="s">
        <v>31</v>
      </c>
      <c r="I3" s="15" t="s">
        <v>32</v>
      </c>
      <c r="J3" s="15" t="s">
        <v>33</v>
      </c>
      <c r="L3" s="117" t="s">
        <v>544</v>
      </c>
      <c r="M3" s="85" t="s">
        <v>30</v>
      </c>
      <c r="N3" s="85" t="s">
        <v>31</v>
      </c>
      <c r="O3" s="85" t="s">
        <v>32</v>
      </c>
      <c r="P3" s="15" t="s">
        <v>33</v>
      </c>
      <c r="R3" s="1" t="s">
        <v>537</v>
      </c>
    </row>
    <row r="4" spans="1:22" x14ac:dyDescent="0.35">
      <c r="A4" t="s">
        <v>264</v>
      </c>
      <c r="B4">
        <v>24</v>
      </c>
      <c r="C4">
        <v>1</v>
      </c>
      <c r="D4">
        <v>2</v>
      </c>
      <c r="F4" s="15" t="s">
        <v>56</v>
      </c>
      <c r="G4" s="15">
        <v>0.33</v>
      </c>
      <c r="H4" s="15">
        <v>0.5</v>
      </c>
      <c r="I4" s="15">
        <v>0.5</v>
      </c>
      <c r="J4" s="15">
        <v>0.66</v>
      </c>
      <c r="L4" s="85" t="s">
        <v>34</v>
      </c>
      <c r="M4" s="127">
        <f>((($C3+$D3)*(G$6))*10)+$T$24</f>
        <v>9.8000000000000007</v>
      </c>
      <c r="N4" s="127">
        <f t="shared" ref="N4:P4" si="0">((($C3+$D3)*(H$6))*10)+$T$24</f>
        <v>13.200000000000001</v>
      </c>
      <c r="O4" s="127">
        <f t="shared" si="0"/>
        <v>16.600000000000001</v>
      </c>
      <c r="P4" s="127">
        <f t="shared" si="0"/>
        <v>19.8</v>
      </c>
      <c r="R4" t="s">
        <v>123</v>
      </c>
      <c r="S4" s="16">
        <v>45</v>
      </c>
      <c r="T4" s="118">
        <v>45</v>
      </c>
      <c r="U4" s="118">
        <v>45</v>
      </c>
      <c r="V4" s="16">
        <v>45</v>
      </c>
    </row>
    <row r="5" spans="1:22" x14ac:dyDescent="0.35">
      <c r="A5" s="15" t="s">
        <v>35</v>
      </c>
      <c r="B5">
        <v>12</v>
      </c>
      <c r="C5" s="15">
        <v>1</v>
      </c>
      <c r="D5" s="15">
        <v>3</v>
      </c>
      <c r="F5" s="15" t="s">
        <v>57</v>
      </c>
      <c r="G5" s="15">
        <v>0.16</v>
      </c>
      <c r="H5" s="15">
        <v>0.16</v>
      </c>
      <c r="I5" s="15">
        <v>0.33</v>
      </c>
      <c r="J5" s="15">
        <v>0.33</v>
      </c>
      <c r="L5" s="117" t="s">
        <v>264</v>
      </c>
      <c r="M5" s="127">
        <f>((($C4+$D4)*(G$6))*10)+$T$25</f>
        <v>14.7</v>
      </c>
      <c r="N5" s="127">
        <f t="shared" ref="N5:P5" si="1">((($C4+$D4)*(H$6))*10)+$T$25</f>
        <v>19.8</v>
      </c>
      <c r="O5" s="127">
        <f>((($C4+$D4)*(I$6))*10)+$T$25</f>
        <v>24.900000000000002</v>
      </c>
      <c r="P5" s="127">
        <f t="shared" si="1"/>
        <v>29.699999999999996</v>
      </c>
      <c r="S5" s="16"/>
      <c r="T5" s="118"/>
      <c r="U5" s="118"/>
      <c r="V5" s="16"/>
    </row>
    <row r="6" spans="1:22" x14ac:dyDescent="0.35">
      <c r="A6" s="15" t="s">
        <v>36</v>
      </c>
      <c r="B6">
        <v>24</v>
      </c>
      <c r="C6" s="15">
        <v>1</v>
      </c>
      <c r="D6" s="15">
        <v>4</v>
      </c>
      <c r="F6" s="15" t="s">
        <v>10</v>
      </c>
      <c r="G6" s="15">
        <f>SUM(G4:G5)</f>
        <v>0.49</v>
      </c>
      <c r="H6" s="15">
        <f>SUM(H4:H5)</f>
        <v>0.66</v>
      </c>
      <c r="I6" s="15">
        <f>SUM(I4:I5)</f>
        <v>0.83000000000000007</v>
      </c>
      <c r="J6" s="15">
        <f>SUM(J4:J5)</f>
        <v>0.99</v>
      </c>
      <c r="L6" s="85" t="s">
        <v>35</v>
      </c>
      <c r="M6" s="127">
        <f>((($C5+$D5)*(G$6))*10)+$T$26</f>
        <v>13.600000000000001</v>
      </c>
      <c r="N6" s="127">
        <f>((($C5+$D5)*(H$6))*10)+$T$26</f>
        <v>20.400000000000002</v>
      </c>
      <c r="O6" s="127">
        <f>((($C5+$D5)*(I$6))*10)+$T$26</f>
        <v>27.200000000000003</v>
      </c>
      <c r="P6" s="127">
        <f t="shared" ref="P6" si="2">((($C5+$D5)*(J$6))*10)+$T$26</f>
        <v>33.6</v>
      </c>
      <c r="R6" t="s">
        <v>124</v>
      </c>
      <c r="S6" t="s">
        <v>30</v>
      </c>
      <c r="T6" s="117" t="s">
        <v>31</v>
      </c>
      <c r="U6" s="117" t="s">
        <v>75</v>
      </c>
      <c r="V6" t="s">
        <v>33</v>
      </c>
    </row>
    <row r="7" spans="1:22" x14ac:dyDescent="0.35">
      <c r="A7" s="15"/>
      <c r="C7" s="15"/>
      <c r="D7" s="15"/>
      <c r="F7" s="15"/>
      <c r="G7" s="15"/>
      <c r="H7" s="15"/>
      <c r="I7" s="15"/>
      <c r="J7" s="15"/>
      <c r="K7" s="15"/>
      <c r="L7" s="85" t="s">
        <v>36</v>
      </c>
      <c r="M7" s="127">
        <f>((($C6+$D6)*(G$6))*10)+$T$27</f>
        <v>24.5</v>
      </c>
      <c r="N7" s="127">
        <f t="shared" ref="N7:P7" si="3">((($C6+$D6)*(H$6))*10)+$T$27</f>
        <v>33</v>
      </c>
      <c r="O7" s="127">
        <f t="shared" si="3"/>
        <v>41.5</v>
      </c>
      <c r="P7" s="127">
        <f t="shared" si="3"/>
        <v>49.5</v>
      </c>
      <c r="S7">
        <v>0.66</v>
      </c>
      <c r="T7" s="117">
        <v>0.66</v>
      </c>
      <c r="U7" s="117">
        <v>0.83</v>
      </c>
      <c r="V7">
        <v>0.83</v>
      </c>
    </row>
    <row r="8" spans="1:22" x14ac:dyDescent="0.35">
      <c r="A8" s="15" t="s">
        <v>38</v>
      </c>
      <c r="B8">
        <v>28</v>
      </c>
      <c r="C8" s="15">
        <v>1</v>
      </c>
      <c r="D8" s="15">
        <v>5</v>
      </c>
      <c r="F8" s="19" t="s">
        <v>111</v>
      </c>
      <c r="G8" s="15" t="s">
        <v>30</v>
      </c>
      <c r="H8" s="15" t="s">
        <v>31</v>
      </c>
      <c r="I8" s="15" t="s">
        <v>32</v>
      </c>
      <c r="J8" s="15" t="s">
        <v>33</v>
      </c>
      <c r="K8" s="15"/>
      <c r="L8" s="85" t="s">
        <v>41</v>
      </c>
      <c r="M8" s="127">
        <f>((($C5+$D5)*(G$6))*10)+$T$26</f>
        <v>13.600000000000001</v>
      </c>
      <c r="N8" s="127">
        <f>((($C5+$D5)*(H$6))*10)+$T$26</f>
        <v>20.400000000000002</v>
      </c>
      <c r="O8" s="127">
        <f>((($C5+$D5)*(I$6))*10)+$T$26</f>
        <v>27.200000000000003</v>
      </c>
      <c r="P8" s="127">
        <f>((($C5+$D5)*(J$6))*10)+$T$26</f>
        <v>33.6</v>
      </c>
      <c r="S8">
        <v>0.33</v>
      </c>
      <c r="T8" s="117">
        <v>0.5</v>
      </c>
      <c r="U8" s="117">
        <v>0.5</v>
      </c>
      <c r="V8">
        <v>0.5</v>
      </c>
    </row>
    <row r="9" spans="1:22" x14ac:dyDescent="0.35">
      <c r="A9" s="15" t="s">
        <v>39</v>
      </c>
      <c r="B9">
        <v>30</v>
      </c>
      <c r="C9" s="15">
        <v>1</v>
      </c>
      <c r="D9" s="15">
        <v>6</v>
      </c>
      <c r="F9" s="15" t="s">
        <v>56</v>
      </c>
      <c r="G9" s="15">
        <v>0.5</v>
      </c>
      <c r="H9" s="15">
        <v>0.66</v>
      </c>
      <c r="I9" s="15">
        <v>0.66</v>
      </c>
      <c r="J9" s="15">
        <v>0.83</v>
      </c>
      <c r="K9" s="15"/>
      <c r="L9" s="85" t="s">
        <v>38</v>
      </c>
      <c r="M9" s="127">
        <f>((($C8+$D8)*(G$6))*10)+$T$29</f>
        <v>31.4</v>
      </c>
      <c r="N9" s="127">
        <f>((($C8+$D8)*(H$6))*10)+$T$29</f>
        <v>41.6</v>
      </c>
      <c r="O9" s="127">
        <f t="shared" ref="O9:P9" si="4">((($C8+$D8)*(I$6))*10)+$T$29</f>
        <v>51.800000000000004</v>
      </c>
      <c r="P9" s="127">
        <f t="shared" si="4"/>
        <v>61.399999999999991</v>
      </c>
      <c r="S9">
        <f>S7+S8</f>
        <v>0.99</v>
      </c>
      <c r="T9" s="117">
        <f>T7+T8</f>
        <v>1.1600000000000001</v>
      </c>
      <c r="U9" s="117">
        <f>U7+U8</f>
        <v>1.33</v>
      </c>
      <c r="V9">
        <f>V7+V8</f>
        <v>1.33</v>
      </c>
    </row>
    <row r="10" spans="1:22" x14ac:dyDescent="0.35">
      <c r="A10" s="15" t="s">
        <v>37</v>
      </c>
      <c r="B10">
        <v>28</v>
      </c>
      <c r="C10" s="15">
        <v>1</v>
      </c>
      <c r="D10" s="15"/>
      <c r="F10" s="15" t="s">
        <v>57</v>
      </c>
      <c r="G10" s="15">
        <v>0.16</v>
      </c>
      <c r="H10" s="15">
        <v>0.16</v>
      </c>
      <c r="I10" s="15">
        <v>0.33</v>
      </c>
      <c r="J10" s="15">
        <v>0.33</v>
      </c>
      <c r="K10" s="15"/>
      <c r="L10" s="85" t="s">
        <v>39</v>
      </c>
      <c r="M10" s="127">
        <f>((($C9+$D9)*(G$6))*10)+$T$30</f>
        <v>37.299999999999997</v>
      </c>
      <c r="N10" s="127">
        <f t="shared" ref="N10:P10" si="5">((($C9+$D9)*(H$6))*10)+$T$30</f>
        <v>49.2</v>
      </c>
      <c r="O10" s="127">
        <f t="shared" si="5"/>
        <v>61.100000000000009</v>
      </c>
      <c r="P10" s="127">
        <f t="shared" si="5"/>
        <v>72.3</v>
      </c>
      <c r="R10" t="s">
        <v>125</v>
      </c>
      <c r="S10">
        <v>2</v>
      </c>
      <c r="T10" s="117">
        <v>2</v>
      </c>
      <c r="U10" s="117">
        <v>2</v>
      </c>
      <c r="V10">
        <v>2</v>
      </c>
    </row>
    <row r="11" spans="1:22" x14ac:dyDescent="0.35">
      <c r="A11" s="15" t="s">
        <v>43</v>
      </c>
      <c r="B11">
        <v>28</v>
      </c>
      <c r="C11" s="15">
        <v>1</v>
      </c>
      <c r="D11" s="15">
        <v>1</v>
      </c>
      <c r="F11" s="15" t="s">
        <v>10</v>
      </c>
      <c r="G11" s="15">
        <f>SUM(G9:G10)</f>
        <v>0.66</v>
      </c>
      <c r="H11" s="15">
        <f>SUM(H9:H10)</f>
        <v>0.82000000000000006</v>
      </c>
      <c r="I11" s="15">
        <f>SUM(I9:I10)</f>
        <v>0.99</v>
      </c>
      <c r="J11" s="15">
        <f>SUM(J9:J10)</f>
        <v>1.1599999999999999</v>
      </c>
      <c r="K11" s="15"/>
      <c r="L11" s="85" t="s">
        <v>37</v>
      </c>
      <c r="M11" s="128">
        <f>($C$10*G6)</f>
        <v>0.49</v>
      </c>
      <c r="N11" s="128">
        <f t="shared" ref="N11:P11" si="6">($C$10*H6)</f>
        <v>0.66</v>
      </c>
      <c r="O11" s="128">
        <f t="shared" si="6"/>
        <v>0.83000000000000007</v>
      </c>
      <c r="P11" s="128">
        <f t="shared" si="6"/>
        <v>0.99</v>
      </c>
    </row>
    <row r="12" spans="1:22" x14ac:dyDescent="0.35">
      <c r="A12" s="15" t="s">
        <v>40</v>
      </c>
      <c r="B12">
        <v>40</v>
      </c>
      <c r="C12" s="15">
        <v>1</v>
      </c>
      <c r="D12" s="15"/>
      <c r="F12" s="15"/>
      <c r="G12" s="15"/>
      <c r="H12" s="15"/>
      <c r="I12" s="15"/>
      <c r="J12" s="15"/>
      <c r="K12" s="15"/>
      <c r="L12" s="85" t="s">
        <v>43</v>
      </c>
      <c r="M12" s="128">
        <f>(($C11+$D11)*(G$6))</f>
        <v>0.98</v>
      </c>
      <c r="N12" s="128">
        <f t="shared" ref="N12:P13" si="7">(($C11+$D11)*(H$6))</f>
        <v>1.32</v>
      </c>
      <c r="O12" s="128">
        <f t="shared" si="7"/>
        <v>1.6600000000000001</v>
      </c>
      <c r="P12" s="128">
        <f t="shared" si="7"/>
        <v>1.98</v>
      </c>
      <c r="R12" t="s">
        <v>126</v>
      </c>
      <c r="S12">
        <v>2</v>
      </c>
      <c r="T12" s="117">
        <v>2</v>
      </c>
      <c r="U12" s="117">
        <v>2</v>
      </c>
      <c r="V12">
        <v>2</v>
      </c>
    </row>
    <row r="13" spans="1:22" ht="15" thickBot="1" x14ac:dyDescent="0.4">
      <c r="A13" s="15" t="s">
        <v>44</v>
      </c>
      <c r="C13" s="15">
        <v>1</v>
      </c>
      <c r="D13" s="15"/>
      <c r="E13" s="15"/>
      <c r="F13" s="15"/>
      <c r="G13" s="15"/>
      <c r="H13" s="15"/>
      <c r="I13" s="15"/>
      <c r="L13" s="85" t="s">
        <v>40</v>
      </c>
      <c r="M13" s="128">
        <f>(($C12+$D12)*(G$6))</f>
        <v>0.49</v>
      </c>
      <c r="N13" s="128">
        <f t="shared" si="7"/>
        <v>0.66</v>
      </c>
      <c r="O13" s="128">
        <f t="shared" si="7"/>
        <v>0.83000000000000007</v>
      </c>
      <c r="P13" s="128">
        <f t="shared" si="7"/>
        <v>0.99</v>
      </c>
    </row>
    <row r="14" spans="1:22" x14ac:dyDescent="0.35">
      <c r="B14" s="43" t="s">
        <v>62</v>
      </c>
      <c r="C14" s="44"/>
      <c r="D14" s="44"/>
      <c r="E14" s="44"/>
      <c r="F14" s="44"/>
      <c r="G14" s="45"/>
      <c r="L14" s="85" t="s">
        <v>44</v>
      </c>
      <c r="M14" s="128">
        <f>(($C13+$D13)*(G$6))</f>
        <v>0.49</v>
      </c>
      <c r="N14" s="128">
        <f>(($C13+$D13)*(H$6))</f>
        <v>0.66</v>
      </c>
      <c r="O14" s="128">
        <f t="shared" ref="O14:P14" si="8">(($C13+$D13)*(I$6))</f>
        <v>0.83000000000000007</v>
      </c>
      <c r="P14" s="215">
        <f t="shared" si="8"/>
        <v>0.99</v>
      </c>
      <c r="R14" t="s">
        <v>40</v>
      </c>
      <c r="S14">
        <v>4.5</v>
      </c>
      <c r="T14" s="117">
        <v>5</v>
      </c>
      <c r="U14" s="117">
        <v>5.5</v>
      </c>
      <c r="V14">
        <v>6</v>
      </c>
    </row>
    <row r="15" spans="1:22" x14ac:dyDescent="0.35">
      <c r="B15" s="33" t="s">
        <v>15</v>
      </c>
      <c r="C15" s="33" t="s">
        <v>16</v>
      </c>
      <c r="D15" s="33" t="s">
        <v>58</v>
      </c>
      <c r="E15" s="33" t="s">
        <v>59</v>
      </c>
      <c r="F15" s="33" t="s">
        <v>60</v>
      </c>
      <c r="G15" s="33" t="s">
        <v>61</v>
      </c>
      <c r="J15" s="15"/>
      <c r="L15" s="85"/>
      <c r="M15" s="128"/>
      <c r="N15" s="128"/>
      <c r="O15" s="128"/>
      <c r="P15" s="215"/>
    </row>
    <row r="16" spans="1:22" x14ac:dyDescent="0.35">
      <c r="B16" s="33" t="s">
        <v>38</v>
      </c>
      <c r="C16" s="33"/>
      <c r="D16" s="75">
        <f t="shared" ref="D16:G17" si="9">ROUND(M9,)</f>
        <v>31</v>
      </c>
      <c r="E16" s="75">
        <f>ROUND(N9,)</f>
        <v>42</v>
      </c>
      <c r="F16" s="75">
        <f t="shared" si="9"/>
        <v>52</v>
      </c>
      <c r="G16" s="75">
        <f t="shared" si="9"/>
        <v>61</v>
      </c>
      <c r="J16" s="15"/>
      <c r="L16" s="124" t="s">
        <v>269</v>
      </c>
      <c r="P16" s="216"/>
      <c r="R16" t="s">
        <v>44</v>
      </c>
      <c r="S16">
        <v>4</v>
      </c>
      <c r="T16" s="117">
        <v>4.5</v>
      </c>
      <c r="U16" s="117">
        <v>5</v>
      </c>
      <c r="V16">
        <v>5.5</v>
      </c>
    </row>
    <row r="17" spans="1:22" x14ac:dyDescent="0.35">
      <c r="B17" s="33" t="s">
        <v>39</v>
      </c>
      <c r="C17" s="33"/>
      <c r="D17" s="75">
        <f t="shared" si="9"/>
        <v>37</v>
      </c>
      <c r="E17" s="75">
        <f t="shared" si="9"/>
        <v>49</v>
      </c>
      <c r="F17" s="75">
        <f t="shared" si="9"/>
        <v>61</v>
      </c>
      <c r="G17" s="75">
        <f t="shared" si="9"/>
        <v>72</v>
      </c>
      <c r="J17" s="15"/>
      <c r="L17" s="85" t="s">
        <v>110</v>
      </c>
      <c r="M17" s="127">
        <f>S4+M8</f>
        <v>58.6</v>
      </c>
      <c r="N17" s="127">
        <f>T4+N8</f>
        <v>65.400000000000006</v>
      </c>
      <c r="O17" s="127">
        <f>U4+O8</f>
        <v>72.2</v>
      </c>
      <c r="P17" s="217">
        <f>V4+P8</f>
        <v>78.599999999999994</v>
      </c>
    </row>
    <row r="18" spans="1:22" x14ac:dyDescent="0.35">
      <c r="B18" s="33" t="s">
        <v>37</v>
      </c>
      <c r="C18" s="33"/>
      <c r="D18" s="75">
        <f>ROUND(M18,)</f>
        <v>37</v>
      </c>
      <c r="E18" s="75">
        <f>ROUND(N18,)</f>
        <v>40</v>
      </c>
      <c r="F18" s="75">
        <f t="shared" ref="F18:G19" si="10">ROUND(O18,)</f>
        <v>44</v>
      </c>
      <c r="G18" s="75">
        <f t="shared" si="10"/>
        <v>45</v>
      </c>
      <c r="J18" s="15"/>
      <c r="L18" s="85" t="s">
        <v>122</v>
      </c>
      <c r="M18" s="128">
        <f>((M11+S9+S10)*10)+$T$31</f>
        <v>36.799999999999997</v>
      </c>
      <c r="N18" s="128">
        <f t="shared" ref="N18:P18" si="11">((N11+T9+T10)*10)+$T$31</f>
        <v>40.200000000000003</v>
      </c>
      <c r="O18" s="128">
        <f t="shared" si="11"/>
        <v>43.6</v>
      </c>
      <c r="P18" s="215">
        <f t="shared" si="11"/>
        <v>45.2</v>
      </c>
      <c r="R18" t="s">
        <v>129</v>
      </c>
      <c r="S18">
        <v>15</v>
      </c>
      <c r="T18" s="117">
        <v>17</v>
      </c>
      <c r="U18" s="117">
        <v>19</v>
      </c>
      <c r="V18">
        <v>21</v>
      </c>
    </row>
    <row r="19" spans="1:22" x14ac:dyDescent="0.35">
      <c r="B19" s="33" t="s">
        <v>43</v>
      </c>
      <c r="C19" s="33"/>
      <c r="D19" s="75">
        <f>ROUND(M19,)</f>
        <v>32</v>
      </c>
      <c r="E19" s="75">
        <f>ROUND(N19,)</f>
        <v>35</v>
      </c>
      <c r="F19" s="75">
        <f t="shared" si="10"/>
        <v>39</v>
      </c>
      <c r="G19" s="75">
        <f t="shared" si="10"/>
        <v>42</v>
      </c>
      <c r="J19" s="15"/>
      <c r="L19" s="85" t="s">
        <v>127</v>
      </c>
      <c r="M19" s="128">
        <f>((M12+S12)*10)+$T$32</f>
        <v>31.8</v>
      </c>
      <c r="N19" s="128">
        <f t="shared" ref="N19:P19" si="12">((N12+T12)*10)+$T$32</f>
        <v>35.200000000000003</v>
      </c>
      <c r="O19" s="128">
        <f t="shared" si="12"/>
        <v>38.6</v>
      </c>
      <c r="P19" s="128">
        <f t="shared" si="12"/>
        <v>41.8</v>
      </c>
    </row>
    <row r="20" spans="1:22" x14ac:dyDescent="0.35">
      <c r="B20" s="33" t="s">
        <v>44</v>
      </c>
      <c r="C20" s="33"/>
      <c r="D20" s="75">
        <f>ROUND(M21,)</f>
        <v>45</v>
      </c>
      <c r="E20" s="75">
        <f>ROUND(N21,)</f>
        <v>52</v>
      </c>
      <c r="F20" s="75">
        <f>ROUND(O21,)</f>
        <v>58</v>
      </c>
      <c r="G20" s="75">
        <f>ROUND(P21,)</f>
        <v>65</v>
      </c>
      <c r="J20" s="15"/>
      <c r="L20" s="85" t="s">
        <v>128</v>
      </c>
      <c r="M20" s="128">
        <f>((M13+S14)*10)+$T$33</f>
        <v>57.900000000000006</v>
      </c>
      <c r="N20" s="128">
        <f t="shared" ref="N20:P20" si="13">((N13+T14)*10)+$T$33</f>
        <v>64.599999999999994</v>
      </c>
      <c r="O20" s="128">
        <f t="shared" si="13"/>
        <v>71.3</v>
      </c>
      <c r="P20" s="128">
        <f t="shared" si="13"/>
        <v>77.900000000000006</v>
      </c>
    </row>
    <row r="21" spans="1:22" x14ac:dyDescent="0.35">
      <c r="B21" s="33" t="s">
        <v>40</v>
      </c>
      <c r="C21" s="33"/>
      <c r="D21" s="75">
        <f>ROUND(M20,)</f>
        <v>58</v>
      </c>
      <c r="E21" s="75">
        <f>ROUND(N20,)</f>
        <v>65</v>
      </c>
      <c r="F21" s="75">
        <f>ROUND(O20,)</f>
        <v>71</v>
      </c>
      <c r="G21" s="75">
        <f>ROUND(P20,)</f>
        <v>78</v>
      </c>
      <c r="J21" s="15"/>
      <c r="L21" s="85" t="s">
        <v>44</v>
      </c>
      <c r="M21" s="128">
        <f>(M14+S16)*10</f>
        <v>44.900000000000006</v>
      </c>
      <c r="N21" s="128">
        <f>(N14+T16)*10</f>
        <v>51.6</v>
      </c>
      <c r="O21" s="128">
        <f>(O14+U16)*10</f>
        <v>58.3</v>
      </c>
      <c r="P21" s="215">
        <f>(P14+V16)*10</f>
        <v>64.900000000000006</v>
      </c>
    </row>
    <row r="22" spans="1:22" x14ac:dyDescent="0.35">
      <c r="B22" s="33" t="s">
        <v>34</v>
      </c>
      <c r="C22" s="33"/>
      <c r="D22" s="75">
        <f t="shared" ref="D22:G25" si="14">ROUND(M4,)</f>
        <v>10</v>
      </c>
      <c r="E22" s="75">
        <f t="shared" si="14"/>
        <v>13</v>
      </c>
      <c r="F22" s="75">
        <f t="shared" si="14"/>
        <v>17</v>
      </c>
      <c r="G22" s="75">
        <f t="shared" si="14"/>
        <v>20</v>
      </c>
      <c r="H22" s="50"/>
      <c r="I22" s="15"/>
      <c r="L22" s="85" t="s">
        <v>130</v>
      </c>
      <c r="M22" s="128">
        <f>(M4+S18)</f>
        <v>24.8</v>
      </c>
      <c r="N22" s="128">
        <f>(N4+T18)</f>
        <v>30.200000000000003</v>
      </c>
      <c r="O22" s="128">
        <f>(O4+U18)</f>
        <v>35.6</v>
      </c>
      <c r="P22" s="128">
        <f>(P4+V18)</f>
        <v>40.799999999999997</v>
      </c>
    </row>
    <row r="23" spans="1:22" x14ac:dyDescent="0.35">
      <c r="B23" s="33" t="s">
        <v>264</v>
      </c>
      <c r="C23" s="33"/>
      <c r="D23" s="75">
        <f t="shared" si="14"/>
        <v>15</v>
      </c>
      <c r="E23" s="75">
        <f>ROUND(N5,)</f>
        <v>20</v>
      </c>
      <c r="F23" s="75">
        <f t="shared" si="14"/>
        <v>25</v>
      </c>
      <c r="G23" s="75">
        <f t="shared" si="14"/>
        <v>30</v>
      </c>
      <c r="H23" s="50"/>
      <c r="I23" s="15"/>
      <c r="L23" s="85"/>
      <c r="M23" s="128"/>
      <c r="N23" s="128"/>
      <c r="O23" s="128"/>
      <c r="P23" s="74"/>
      <c r="R23" s="1" t="s">
        <v>536</v>
      </c>
    </row>
    <row r="24" spans="1:22" x14ac:dyDescent="0.35">
      <c r="B24" s="33" t="s">
        <v>35</v>
      </c>
      <c r="C24" s="33"/>
      <c r="D24" s="75">
        <f t="shared" si="14"/>
        <v>14</v>
      </c>
      <c r="E24" s="75">
        <f>ROUND(N6,)</f>
        <v>20</v>
      </c>
      <c r="F24" s="75">
        <f>ROUND(O6,)</f>
        <v>27</v>
      </c>
      <c r="G24" s="75">
        <f t="shared" si="14"/>
        <v>34</v>
      </c>
      <c r="H24" s="15"/>
      <c r="I24" s="15"/>
      <c r="L24" s="1" t="s">
        <v>97</v>
      </c>
      <c r="P24" s="15"/>
      <c r="R24" t="str">
        <f>A3</f>
        <v>rifle</v>
      </c>
      <c r="S24">
        <f>B3</f>
        <v>24</v>
      </c>
      <c r="T24" s="117">
        <f>(S24-24)*0.5</f>
        <v>0</v>
      </c>
    </row>
    <row r="25" spans="1:22" x14ac:dyDescent="0.35">
      <c r="B25" s="33" t="s">
        <v>36</v>
      </c>
      <c r="C25" s="33"/>
      <c r="D25" s="75">
        <f t="shared" si="14"/>
        <v>25</v>
      </c>
      <c r="E25" s="75">
        <f>ROUND(N7,)</f>
        <v>33</v>
      </c>
      <c r="F25" s="75">
        <f t="shared" si="14"/>
        <v>42</v>
      </c>
      <c r="G25" s="75">
        <f t="shared" si="14"/>
        <v>50</v>
      </c>
      <c r="H25" s="15"/>
      <c r="I25" s="50"/>
      <c r="J25" s="59"/>
      <c r="K25" s="59"/>
      <c r="L25" t="s">
        <v>45</v>
      </c>
      <c r="M25" s="119"/>
      <c r="N25" s="119"/>
      <c r="O25" s="119"/>
      <c r="P25" s="50"/>
      <c r="Q25" s="59"/>
      <c r="R25" t="str">
        <f t="shared" ref="R25:S25" si="15">A4</f>
        <v>automatic rifle</v>
      </c>
      <c r="S25">
        <f t="shared" si="15"/>
        <v>24</v>
      </c>
      <c r="T25" s="117">
        <f t="shared" ref="T25:T33" si="16">(S25-24)*0.5</f>
        <v>0</v>
      </c>
    </row>
    <row r="26" spans="1:22" x14ac:dyDescent="0.35">
      <c r="B26" s="33" t="s">
        <v>51</v>
      </c>
      <c r="C26" s="33"/>
      <c r="D26" s="75">
        <f>ROUND(M22,)</f>
        <v>25</v>
      </c>
      <c r="E26" s="75">
        <f>ROUND(N22,)</f>
        <v>30</v>
      </c>
      <c r="F26" s="75">
        <f>ROUND(O22,)</f>
        <v>36</v>
      </c>
      <c r="G26" s="75">
        <f>ROUND(P22,)</f>
        <v>41</v>
      </c>
      <c r="H26" s="15"/>
      <c r="I26" s="50"/>
      <c r="J26" s="59"/>
      <c r="K26" s="59"/>
      <c r="L26" t="s">
        <v>46</v>
      </c>
      <c r="M26" s="119" t="s">
        <v>74</v>
      </c>
      <c r="N26" s="119"/>
      <c r="O26" s="119"/>
      <c r="P26" s="50"/>
      <c r="Q26" s="59"/>
      <c r="R26" t="str">
        <f t="shared" ref="R26:S26" si="17">A5</f>
        <v>smg</v>
      </c>
      <c r="S26">
        <f t="shared" si="17"/>
        <v>12</v>
      </c>
      <c r="T26" s="117">
        <f t="shared" si="16"/>
        <v>-6</v>
      </c>
    </row>
    <row r="27" spans="1:22" x14ac:dyDescent="0.35">
      <c r="B27" s="33" t="s">
        <v>41</v>
      </c>
      <c r="C27" s="33"/>
      <c r="D27" s="75">
        <f>ROUND(M17,)</f>
        <v>59</v>
      </c>
      <c r="E27" s="75">
        <f>ROUND(N17,)</f>
        <v>65</v>
      </c>
      <c r="F27" s="75">
        <f>ROUND(O17,)</f>
        <v>72</v>
      </c>
      <c r="G27" s="75">
        <f>ROUND(P17,)</f>
        <v>79</v>
      </c>
      <c r="I27" s="50"/>
      <c r="J27" s="59"/>
      <c r="K27" s="59"/>
      <c r="L27" t="s">
        <v>88</v>
      </c>
      <c r="M27" s="125"/>
      <c r="N27" s="125"/>
      <c r="O27" s="125"/>
      <c r="P27" s="50"/>
      <c r="Q27" s="59"/>
      <c r="R27" t="str">
        <f t="shared" ref="R27:S27" si="18">A6</f>
        <v>lmg</v>
      </c>
      <c r="S27">
        <f t="shared" si="18"/>
        <v>24</v>
      </c>
      <c r="T27" s="117">
        <f t="shared" si="16"/>
        <v>0</v>
      </c>
    </row>
    <row r="28" spans="1:22" x14ac:dyDescent="0.35">
      <c r="B28" s="33">
        <v>0</v>
      </c>
      <c r="C28" s="33">
        <v>0</v>
      </c>
      <c r="D28" s="75">
        <v>0</v>
      </c>
      <c r="E28" s="75">
        <v>0</v>
      </c>
      <c r="F28" s="75">
        <v>0</v>
      </c>
      <c r="G28" s="75">
        <v>0</v>
      </c>
      <c r="I28" s="50"/>
      <c r="J28" s="59"/>
      <c r="K28" s="59"/>
      <c r="L28" t="s">
        <v>48</v>
      </c>
      <c r="M28" s="125"/>
      <c r="N28" s="125"/>
      <c r="O28" s="125"/>
      <c r="P28" s="50"/>
      <c r="Q28" s="59"/>
    </row>
    <row r="29" spans="1:22" x14ac:dyDescent="0.35">
      <c r="B29" s="33"/>
      <c r="C29" s="33"/>
      <c r="D29" s="75"/>
      <c r="E29" s="75"/>
      <c r="F29" s="75"/>
      <c r="G29" s="75"/>
      <c r="I29" s="50"/>
      <c r="J29" s="59"/>
      <c r="K29" s="59"/>
      <c r="L29" t="s">
        <v>47</v>
      </c>
      <c r="M29" s="125"/>
      <c r="N29" s="125"/>
      <c r="O29" s="125"/>
      <c r="P29" s="50"/>
      <c r="Q29" s="59"/>
      <c r="R29" t="str">
        <f t="shared" ref="R29:S29" si="19">A8</f>
        <v>mmg</v>
      </c>
      <c r="S29">
        <f t="shared" si="19"/>
        <v>28</v>
      </c>
      <c r="T29" s="117">
        <f t="shared" si="16"/>
        <v>2</v>
      </c>
    </row>
    <row r="30" spans="1:22" x14ac:dyDescent="0.35">
      <c r="B30" s="19" t="s">
        <v>76</v>
      </c>
      <c r="C30" s="20"/>
      <c r="D30" s="16"/>
      <c r="E30" s="16"/>
      <c r="F30" s="16"/>
      <c r="G30" s="16"/>
      <c r="I30" s="50"/>
      <c r="J30" s="81"/>
      <c r="K30" s="50"/>
      <c r="L30" t="s">
        <v>87</v>
      </c>
      <c r="M30" s="63"/>
      <c r="N30" s="63"/>
      <c r="O30" s="63"/>
      <c r="P30" s="82"/>
      <c r="Q30" s="59"/>
      <c r="R30" t="str">
        <f t="shared" ref="R30:S30" si="20">A9</f>
        <v>hmg</v>
      </c>
      <c r="S30">
        <f t="shared" si="20"/>
        <v>30</v>
      </c>
      <c r="T30" s="117">
        <f t="shared" si="16"/>
        <v>3</v>
      </c>
    </row>
    <row r="31" spans="1:22" x14ac:dyDescent="0.35">
      <c r="A31" s="16" t="s">
        <v>20</v>
      </c>
      <c r="B31" s="15" t="s">
        <v>15</v>
      </c>
      <c r="C31" s="20" t="s">
        <v>16</v>
      </c>
      <c r="D31" s="16" t="s">
        <v>30</v>
      </c>
      <c r="E31" s="16" t="s">
        <v>31</v>
      </c>
      <c r="F31" s="16" t="s">
        <v>32</v>
      </c>
      <c r="G31" s="16" t="s">
        <v>33</v>
      </c>
      <c r="H31" s="16" t="s">
        <v>42</v>
      </c>
      <c r="I31" s="50"/>
      <c r="J31" s="50"/>
      <c r="K31" s="82"/>
      <c r="L31">
        <v>0</v>
      </c>
      <c r="M31" s="63"/>
      <c r="N31" s="63"/>
      <c r="O31" s="63"/>
      <c r="P31" s="56"/>
      <c r="Q31" s="59"/>
      <c r="R31" t="str">
        <f t="shared" ref="R31:S31" si="21">A10</f>
        <v>sniper</v>
      </c>
      <c r="S31">
        <f t="shared" si="21"/>
        <v>28</v>
      </c>
      <c r="T31" s="117">
        <f t="shared" si="16"/>
        <v>2</v>
      </c>
    </row>
    <row r="32" spans="1:22" x14ac:dyDescent="0.35">
      <c r="A32" t="str">
        <f ca="1">standardsquads[[#This Row],[Column1]]&amp;"_"&amp;OFFSET(standardsquads[[#This Row],[Column3]],0,setup!C9)&amp;""</f>
        <v>rifle squad_250</v>
      </c>
      <c r="B32" s="21" t="s">
        <v>118</v>
      </c>
      <c r="C32" s="22" t="s">
        <v>379</v>
      </c>
      <c r="D32" s="16">
        <f>$D$27+($D$22*4)+($H$32*10)+($D$24*2)+$D$25</f>
        <v>212</v>
      </c>
      <c r="E32" s="16">
        <f>$E$27+($E$22*4)+($H$32*10)+($E$24*2)+$E$25</f>
        <v>250</v>
      </c>
      <c r="F32" s="16">
        <f>$F$27+($F$22*4)+($H$32*10)+($F$24*2)+$F$25</f>
        <v>296</v>
      </c>
      <c r="G32" s="16">
        <f>$G$27+($G$22*4)+($H$32*10)+($G$24*2)+$G$25</f>
        <v>337</v>
      </c>
      <c r="H32">
        <v>6</v>
      </c>
      <c r="I32" s="50"/>
      <c r="J32" s="64"/>
      <c r="K32" s="64"/>
      <c r="L32" s="1" t="s">
        <v>52</v>
      </c>
      <c r="M32" s="125"/>
      <c r="N32" s="125"/>
      <c r="O32" s="125"/>
      <c r="P32" s="50"/>
      <c r="Q32" s="59"/>
      <c r="R32" t="str">
        <f t="shared" ref="R32:S32" si="22">A11</f>
        <v>mpat</v>
      </c>
      <c r="S32">
        <f t="shared" si="22"/>
        <v>28</v>
      </c>
      <c r="T32" s="117">
        <f t="shared" si="16"/>
        <v>2</v>
      </c>
    </row>
    <row r="33" spans="1:20" x14ac:dyDescent="0.35">
      <c r="A33" t="str">
        <f ca="1">standardsquads[[#This Row],[Column1]]&amp;"_"&amp;OFFSET(standardsquads[[#This Row],[Column3]],0,setup!C9)&amp;""</f>
        <v>assault squad_205</v>
      </c>
      <c r="B33" s="5" t="s">
        <v>119</v>
      </c>
      <c r="C33" s="6" t="s">
        <v>380</v>
      </c>
      <c r="D33" s="70">
        <f>$D$27+($D$24*4)+($H$32*10)</f>
        <v>175</v>
      </c>
      <c r="E33" s="70">
        <f>$E$27+($E$24*4)+($H$32*10)</f>
        <v>205</v>
      </c>
      <c r="F33" s="70">
        <f>$F$27+($F$24*4)+($H$32*10)</f>
        <v>240</v>
      </c>
      <c r="G33" s="70">
        <f>$G$27+($G$24*4)+($H$32*10)</f>
        <v>275</v>
      </c>
      <c r="H33">
        <v>6</v>
      </c>
      <c r="I33" s="50"/>
      <c r="J33" s="50"/>
      <c r="K33" s="82"/>
      <c r="L33" t="s">
        <v>30</v>
      </c>
      <c r="M33" s="63"/>
      <c r="N33" s="63"/>
      <c r="O33" s="63"/>
      <c r="P33" s="50"/>
      <c r="Q33" s="59"/>
      <c r="R33" t="str">
        <f t="shared" ref="R33:S33" si="23">A12</f>
        <v>mortar</v>
      </c>
      <c r="S33">
        <f t="shared" si="23"/>
        <v>40</v>
      </c>
      <c r="T33" s="117">
        <f t="shared" si="16"/>
        <v>8</v>
      </c>
    </row>
    <row r="34" spans="1:20" x14ac:dyDescent="0.35">
      <c r="A34" t="str">
        <f ca="1">standardsquads[[#This Row],[Column1]]&amp;"_"&amp;OFFSET(standardsquads[[#This Row],[Column3]],0,setup!C$9)&amp;""</f>
        <v>gun squad_243</v>
      </c>
      <c r="B34" s="28" t="s">
        <v>120</v>
      </c>
      <c r="C34" s="29" t="s">
        <v>381</v>
      </c>
      <c r="D34" s="30">
        <f>$D$27+($D$22*4)+($H$32*10)+($D$25*2)</f>
        <v>209</v>
      </c>
      <c r="E34" s="30">
        <f>$E$27+($E$22*4)+($H$32*10)+($E$25*2)</f>
        <v>243</v>
      </c>
      <c r="F34" s="30">
        <f>$F$27+($F$22*4)+($H$32*10)+($F$25*2)</f>
        <v>284</v>
      </c>
      <c r="G34" s="30">
        <f>$G$27+($G$22*4)+($H$32*10)+($G$25*2)</f>
        <v>319</v>
      </c>
      <c r="H34">
        <v>6</v>
      </c>
      <c r="I34" s="50"/>
      <c r="J34" s="50"/>
      <c r="K34" s="50"/>
      <c r="L34" t="s">
        <v>31</v>
      </c>
      <c r="M34" s="63"/>
      <c r="N34" s="63"/>
      <c r="O34" s="63"/>
      <c r="P34" s="50"/>
      <c r="Q34" s="59"/>
      <c r="R34">
        <v>0</v>
      </c>
      <c r="S34">
        <f>B13</f>
        <v>0</v>
      </c>
      <c r="T34" s="117">
        <v>0</v>
      </c>
    </row>
    <row r="35" spans="1:20" x14ac:dyDescent="0.35">
      <c r="A35" t="str">
        <f ca="1">standardsquads[[#This Row],[Column1]]&amp;"_"&amp;OFFSET(standardsquads[[#This Row],[Column3]],0,setup!C$9)&amp;""</f>
        <v>recon squad_171</v>
      </c>
      <c r="B35" s="26" t="s">
        <v>117</v>
      </c>
      <c r="C35" s="26" t="s">
        <v>382</v>
      </c>
      <c r="D35" s="27">
        <f>$D$27+$D$25+$D$22+($H$35*10)</f>
        <v>154</v>
      </c>
      <c r="E35" s="27">
        <f>$E$27+$E$25+$E$22+($H$35*10)</f>
        <v>171</v>
      </c>
      <c r="F35" s="27">
        <f>$F$27+$F$25+$F$22+($H$35*10)</f>
        <v>191</v>
      </c>
      <c r="G35" s="27">
        <f>$G$27+$G$25+$G$22+($H$35*10)</f>
        <v>209</v>
      </c>
      <c r="H35">
        <v>6</v>
      </c>
      <c r="I35" s="50"/>
      <c r="J35" s="50"/>
      <c r="K35" s="50"/>
      <c r="L35" t="s">
        <v>75</v>
      </c>
      <c r="M35" s="63"/>
      <c r="N35" s="63"/>
      <c r="O35" s="63"/>
      <c r="P35" s="50"/>
      <c r="Q35" s="59"/>
      <c r="R35">
        <f t="shared" ref="R35:R40" si="24">A14</f>
        <v>0</v>
      </c>
      <c r="S35" s="59"/>
      <c r="T35" s="119"/>
    </row>
    <row r="36" spans="1:20" x14ac:dyDescent="0.35">
      <c r="A36">
        <v>0</v>
      </c>
      <c r="B36" s="26">
        <v>0</v>
      </c>
      <c r="C36" s="26">
        <v>0</v>
      </c>
      <c r="D36" s="27">
        <v>0</v>
      </c>
      <c r="E36" s="27">
        <v>0</v>
      </c>
      <c r="F36" s="27">
        <v>0</v>
      </c>
      <c r="G36" s="27">
        <v>0</v>
      </c>
      <c r="H36">
        <v>0</v>
      </c>
      <c r="I36" s="50"/>
      <c r="J36" s="81"/>
      <c r="K36" s="50"/>
      <c r="L36" t="s">
        <v>53</v>
      </c>
      <c r="M36" s="63"/>
      <c r="N36" s="63"/>
      <c r="O36" s="63"/>
      <c r="P36" s="50"/>
      <c r="Q36" s="59"/>
      <c r="R36">
        <f t="shared" si="24"/>
        <v>0</v>
      </c>
      <c r="S36" s="59"/>
      <c r="T36" s="119"/>
    </row>
    <row r="37" spans="1:20" x14ac:dyDescent="0.35">
      <c r="A37" s="135"/>
      <c r="B37" s="50"/>
      <c r="C37" s="50"/>
      <c r="D37" s="56"/>
      <c r="E37" s="56"/>
      <c r="F37" s="56"/>
      <c r="G37" s="56"/>
      <c r="H37" s="135"/>
      <c r="I37" s="50"/>
      <c r="J37" s="81"/>
      <c r="K37" s="50"/>
      <c r="L37">
        <v>0</v>
      </c>
      <c r="M37" s="63"/>
      <c r="N37" s="63"/>
      <c r="O37" s="63"/>
      <c r="P37" s="50"/>
      <c r="Q37" s="59"/>
      <c r="R37">
        <f t="shared" si="24"/>
        <v>0</v>
      </c>
      <c r="S37" s="59"/>
      <c r="T37" s="119"/>
    </row>
    <row r="38" spans="1:20" x14ac:dyDescent="0.35">
      <c r="A38" s="144"/>
      <c r="B38" s="91" t="s">
        <v>183</v>
      </c>
      <c r="C38" s="33"/>
      <c r="D38" s="33"/>
      <c r="E38" s="33"/>
      <c r="F38" s="33"/>
      <c r="G38" s="33"/>
      <c r="H38" s="33"/>
      <c r="I38" s="50"/>
      <c r="J38" s="64"/>
      <c r="K38" s="64"/>
      <c r="L38" s="1" t="s">
        <v>27</v>
      </c>
      <c r="M38" s="125"/>
      <c r="N38" s="125"/>
      <c r="O38" s="125"/>
      <c r="P38" s="50"/>
      <c r="Q38" s="59"/>
      <c r="R38">
        <f t="shared" si="24"/>
        <v>0</v>
      </c>
      <c r="S38" s="59"/>
      <c r="T38" s="119"/>
    </row>
    <row r="39" spans="1:20" x14ac:dyDescent="0.35">
      <c r="A39" s="16" t="s">
        <v>20</v>
      </c>
      <c r="B39" t="s">
        <v>15</v>
      </c>
      <c r="C39" s="16" t="s">
        <v>16</v>
      </c>
      <c r="D39" s="16" t="s">
        <v>30</v>
      </c>
      <c r="E39" s="16" t="s">
        <v>31</v>
      </c>
      <c r="F39" s="16" t="s">
        <v>32</v>
      </c>
      <c r="G39" s="16" t="s">
        <v>33</v>
      </c>
      <c r="H39" s="16" t="s">
        <v>42</v>
      </c>
      <c r="I39" s="50"/>
      <c r="J39" s="64"/>
      <c r="K39" s="64"/>
      <c r="L39" t="s">
        <v>12</v>
      </c>
      <c r="M39" s="63"/>
      <c r="N39" s="63"/>
      <c r="O39" s="63"/>
      <c r="P39" s="50"/>
      <c r="Q39" s="59"/>
      <c r="R39">
        <f t="shared" si="24"/>
        <v>0</v>
      </c>
      <c r="S39" s="59"/>
      <c r="T39" s="119"/>
    </row>
    <row r="40" spans="1:20" x14ac:dyDescent="0.35">
      <c r="A40" s="21" t="str">
        <f ca="1">assetteams[[#This Row],[Column1]]&amp;"_"&amp;OFFSET(assetteams[[#This Row],[Column3]],0,setup!C$9)&amp;""</f>
        <v>mmg team_75</v>
      </c>
      <c r="B40" s="15" t="s">
        <v>258</v>
      </c>
      <c r="C40" s="15" t="s">
        <v>23</v>
      </c>
      <c r="D40" s="16">
        <f>D16+D22+($H$40*10)</f>
        <v>61</v>
      </c>
      <c r="E40" s="16">
        <f>E16+E22+($H$40*10)</f>
        <v>75</v>
      </c>
      <c r="F40" s="16">
        <f>F16+F22+($H$40*10)</f>
        <v>89</v>
      </c>
      <c r="G40" s="16">
        <f>G16+G22+($H$40*10)</f>
        <v>101</v>
      </c>
      <c r="H40" s="15">
        <v>2</v>
      </c>
      <c r="I40" s="50"/>
      <c r="J40" s="64"/>
      <c r="K40" s="64"/>
      <c r="L40" t="s">
        <v>18</v>
      </c>
      <c r="M40" s="63"/>
      <c r="N40" s="63"/>
      <c r="O40" s="63"/>
      <c r="P40" s="50"/>
      <c r="Q40" s="59"/>
      <c r="R40">
        <f t="shared" si="24"/>
        <v>0</v>
      </c>
      <c r="S40" s="59"/>
      <c r="T40" s="119"/>
    </row>
    <row r="41" spans="1:20" x14ac:dyDescent="0.35">
      <c r="A41" s="21" t="str">
        <f ca="1">assetteams[[#This Row],[Column1]]&amp;"_"&amp;OFFSET(assetteams[[#This Row],[Column3]],0,setup!C$9)&amp;""</f>
        <v>hmg team_82</v>
      </c>
      <c r="B41" s="15" t="s">
        <v>259</v>
      </c>
      <c r="C41" s="15" t="s">
        <v>22</v>
      </c>
      <c r="D41" s="16">
        <f>D17+D22+($H$41*10)</f>
        <v>67</v>
      </c>
      <c r="E41" s="16">
        <f>E17+E22+($H$41*10)</f>
        <v>82</v>
      </c>
      <c r="F41" s="16">
        <f>F17+F22+($H$41*10)</f>
        <v>98</v>
      </c>
      <c r="G41" s="16">
        <f>G17+G22+($H$41*10)</f>
        <v>112</v>
      </c>
      <c r="H41" s="15">
        <v>2</v>
      </c>
      <c r="I41" s="50"/>
      <c r="J41" s="64"/>
      <c r="K41" s="64"/>
      <c r="L41" t="s">
        <v>19</v>
      </c>
      <c r="M41" s="63"/>
      <c r="N41" s="63"/>
      <c r="O41" s="63"/>
      <c r="P41" s="50"/>
      <c r="Q41" s="59"/>
      <c r="R41" s="59"/>
      <c r="S41" s="59"/>
      <c r="T41" s="119"/>
    </row>
    <row r="42" spans="1:20" x14ac:dyDescent="0.35">
      <c r="A42" s="21" t="str">
        <f ca="1">assetteams[[#This Row],[Column1]]&amp;"_"&amp;OFFSET(assetteams[[#This Row],[Column3]],0,setup!C$9)&amp;""</f>
        <v>sniper_60</v>
      </c>
      <c r="B42" s="15" t="s">
        <v>37</v>
      </c>
      <c r="C42" s="15" t="s">
        <v>21</v>
      </c>
      <c r="D42" s="16">
        <f>D18+($H$42*10)</f>
        <v>57</v>
      </c>
      <c r="E42" s="16">
        <f>E18+($H$42*10)</f>
        <v>60</v>
      </c>
      <c r="F42" s="16">
        <f>F18+($H$42*10)</f>
        <v>64</v>
      </c>
      <c r="G42" s="16">
        <f>G18+($H$42*10)</f>
        <v>65</v>
      </c>
      <c r="H42" s="15">
        <v>2</v>
      </c>
      <c r="I42" s="50"/>
      <c r="J42" s="83"/>
      <c r="K42" s="64"/>
      <c r="L42">
        <v>0</v>
      </c>
      <c r="M42" s="63"/>
      <c r="N42" s="63"/>
      <c r="O42" s="63"/>
      <c r="P42" s="50"/>
      <c r="Q42" s="59"/>
      <c r="R42" s="59"/>
      <c r="S42" s="59"/>
      <c r="T42" s="119"/>
    </row>
    <row r="43" spans="1:20" x14ac:dyDescent="0.35">
      <c r="A43" s="21" t="str">
        <f ca="1">assetteams[[#This Row],[Column1]]&amp;"_"&amp;OFFSET(assetteams[[#This Row],[Column3]],0,setup!C$9)&amp;""</f>
        <v>mpat team_68</v>
      </c>
      <c r="B43" s="15" t="s">
        <v>260</v>
      </c>
      <c r="C43" s="15" t="s">
        <v>26</v>
      </c>
      <c r="D43" s="16">
        <f>D19+D22+($H$43*10)</f>
        <v>62</v>
      </c>
      <c r="E43" s="16">
        <f>E19+E22+($H$43*10)</f>
        <v>68</v>
      </c>
      <c r="F43" s="16">
        <f>F19+F22+($H$43*10)</f>
        <v>76</v>
      </c>
      <c r="G43" s="16">
        <f>G19+G22+($H$43*10)</f>
        <v>82</v>
      </c>
      <c r="H43" s="15">
        <v>2</v>
      </c>
      <c r="I43" s="50"/>
      <c r="J43" s="64"/>
      <c r="K43" s="64"/>
      <c r="L43" s="1" t="s">
        <v>676</v>
      </c>
      <c r="M43" s="63"/>
      <c r="N43" s="63"/>
      <c r="O43" s="63"/>
      <c r="P43" s="50"/>
      <c r="Q43" s="59"/>
      <c r="R43" s="59"/>
      <c r="S43" s="59"/>
      <c r="T43" s="119"/>
    </row>
    <row r="44" spans="1:20" x14ac:dyDescent="0.35">
      <c r="A44" s="21" t="str">
        <f ca="1">assetteams[[#This Row],[Column1]]&amp;"_"&amp;OFFSET(assetteams[[#This Row],[Column3]],0,setup!C$9)&amp;""</f>
        <v>flame thrower team_85</v>
      </c>
      <c r="B44" s="15" t="s">
        <v>261</v>
      </c>
      <c r="C44" s="15" t="s">
        <v>24</v>
      </c>
      <c r="D44" s="16">
        <f>D20+D22+($H$44*10)</f>
        <v>75</v>
      </c>
      <c r="E44" s="16">
        <f>E20+E22+($H$44*10)</f>
        <v>85</v>
      </c>
      <c r="F44" s="16">
        <f>F20+F22+($H$44*10)</f>
        <v>95</v>
      </c>
      <c r="G44" s="16">
        <f>G20+G22+($H$44*10)</f>
        <v>105</v>
      </c>
      <c r="H44" s="15">
        <v>2</v>
      </c>
      <c r="I44" s="50"/>
      <c r="J44" s="64"/>
      <c r="K44" s="64"/>
      <c r="L44" t="s">
        <v>11</v>
      </c>
      <c r="M44" s="63"/>
      <c r="N44" s="63"/>
      <c r="O44" s="63"/>
      <c r="P44" s="50"/>
      <c r="Q44" s="59"/>
      <c r="R44" s="59"/>
      <c r="S44" s="59"/>
      <c r="T44" s="119"/>
    </row>
    <row r="45" spans="1:20" x14ac:dyDescent="0.35">
      <c r="A45" s="21" t="str">
        <f ca="1">assetteams[[#This Row],[Column1]]&amp;"_"&amp;OFFSET(assetteams[[#This Row],[Column3]],0,setup!C$9)&amp;""</f>
        <v>mortar team_98</v>
      </c>
      <c r="B45" s="15" t="s">
        <v>262</v>
      </c>
      <c r="C45" s="15" t="s">
        <v>25</v>
      </c>
      <c r="D45" s="16">
        <f>D21+D22+($H$45*10)</f>
        <v>88</v>
      </c>
      <c r="E45" s="16">
        <f>E21+E22+($H$45*10)</f>
        <v>98</v>
      </c>
      <c r="F45" s="16">
        <f>F21+F22+($H$45*10)</f>
        <v>108</v>
      </c>
      <c r="G45" s="16">
        <f>G21+G22+($H$45*10)</f>
        <v>118</v>
      </c>
      <c r="H45" s="15">
        <v>2</v>
      </c>
      <c r="I45" s="50"/>
      <c r="J45" s="64"/>
      <c r="K45" s="64"/>
      <c r="L45" t="s">
        <v>13</v>
      </c>
      <c r="M45" s="63"/>
      <c r="N45" s="63"/>
      <c r="O45" s="63"/>
      <c r="P45" s="50"/>
      <c r="Q45" s="59"/>
      <c r="R45" s="59"/>
      <c r="S45" s="59"/>
      <c r="T45" s="119"/>
    </row>
    <row r="46" spans="1:20" x14ac:dyDescent="0.35">
      <c r="A46" s="21">
        <v>0</v>
      </c>
      <c r="B46" s="21">
        <v>0</v>
      </c>
      <c r="C46" s="23">
        <v>0</v>
      </c>
      <c r="D46" s="25">
        <v>0</v>
      </c>
      <c r="E46" s="25">
        <v>0</v>
      </c>
      <c r="F46" s="25">
        <v>0</v>
      </c>
      <c r="G46" s="25">
        <v>0</v>
      </c>
      <c r="H46" s="15">
        <v>0</v>
      </c>
      <c r="I46" s="50"/>
      <c r="J46" s="50"/>
      <c r="K46" s="50"/>
      <c r="L46" t="s">
        <v>17</v>
      </c>
      <c r="M46" s="125"/>
      <c r="N46" s="125"/>
      <c r="O46" s="119"/>
      <c r="P46" s="56"/>
      <c r="Q46" s="59"/>
      <c r="R46" s="59"/>
      <c r="S46" s="59"/>
      <c r="T46" s="119"/>
    </row>
    <row r="47" spans="1:20" x14ac:dyDescent="0.35">
      <c r="A47" s="21"/>
      <c r="B47" s="54"/>
      <c r="C47" s="24"/>
      <c r="D47" s="25"/>
      <c r="E47" s="25"/>
      <c r="F47" s="25"/>
      <c r="G47" s="25"/>
      <c r="H47" s="50"/>
      <c r="I47" s="50"/>
      <c r="J47" s="81"/>
      <c r="K47" s="56"/>
      <c r="L47" t="s">
        <v>675</v>
      </c>
      <c r="M47" s="125"/>
      <c r="N47" s="125"/>
      <c r="O47" s="125"/>
      <c r="P47" s="56"/>
      <c r="Q47" s="59"/>
      <c r="R47" s="59"/>
      <c r="S47" s="59"/>
      <c r="T47" s="119"/>
    </row>
    <row r="48" spans="1:20" x14ac:dyDescent="0.35">
      <c r="A48" s="21"/>
      <c r="B48" s="21"/>
      <c r="C48" s="23"/>
      <c r="D48" s="25"/>
      <c r="E48" s="25"/>
      <c r="F48" s="25"/>
      <c r="G48" s="25"/>
      <c r="H48" s="26"/>
      <c r="I48" s="56"/>
      <c r="J48" s="50"/>
      <c r="K48" s="50"/>
      <c r="L48" s="13" t="s">
        <v>677</v>
      </c>
      <c r="M48" s="125"/>
      <c r="N48" s="125"/>
      <c r="O48" s="125"/>
      <c r="P48" s="56"/>
      <c r="Q48" s="59"/>
      <c r="R48" s="59"/>
      <c r="S48" s="59"/>
      <c r="T48" s="119"/>
    </row>
    <row r="49" spans="1:40" x14ac:dyDescent="0.35">
      <c r="A49" s="21"/>
      <c r="B49" s="54"/>
      <c r="C49" s="24"/>
      <c r="D49" s="25"/>
      <c r="E49" s="25"/>
      <c r="F49" s="25"/>
      <c r="G49" s="25"/>
      <c r="H49" s="50"/>
      <c r="I49" s="50"/>
      <c r="J49" s="50"/>
      <c r="K49" s="50"/>
      <c r="M49" s="63"/>
      <c r="N49" s="63"/>
      <c r="O49" s="63"/>
      <c r="P49" s="50"/>
      <c r="Q49" s="59"/>
      <c r="R49" s="59"/>
      <c r="S49" s="59"/>
      <c r="T49" s="119"/>
    </row>
    <row r="50" spans="1:40" x14ac:dyDescent="0.35">
      <c r="A50" s="21"/>
      <c r="B50" s="21"/>
      <c r="C50" s="23"/>
      <c r="D50" s="25"/>
      <c r="E50" s="25"/>
      <c r="F50" s="25"/>
      <c r="G50" s="25"/>
      <c r="H50" s="26"/>
      <c r="I50" s="50"/>
      <c r="J50" s="50"/>
      <c r="K50" s="50"/>
      <c r="L50" s="125"/>
      <c r="M50" s="63"/>
      <c r="N50" s="63"/>
      <c r="O50" s="63"/>
      <c r="P50" s="56"/>
      <c r="Q50" s="59"/>
      <c r="R50" s="59"/>
      <c r="S50" s="59"/>
      <c r="T50" s="119"/>
    </row>
    <row r="51" spans="1:40" x14ac:dyDescent="0.35">
      <c r="A51" s="21"/>
      <c r="B51" s="54"/>
      <c r="C51" s="24"/>
      <c r="D51" s="25"/>
      <c r="E51" s="25"/>
      <c r="F51" s="25"/>
      <c r="G51" s="25"/>
      <c r="H51" s="50"/>
      <c r="I51" s="50"/>
      <c r="J51" s="50"/>
      <c r="K51" s="50"/>
      <c r="L51" s="125"/>
      <c r="M51" s="63"/>
      <c r="N51" s="63"/>
      <c r="O51" s="63"/>
      <c r="P51" s="56"/>
      <c r="Q51" s="59"/>
      <c r="R51" s="59"/>
      <c r="S51" s="59"/>
      <c r="T51" s="119"/>
    </row>
    <row r="52" spans="1:40" x14ac:dyDescent="0.35">
      <c r="A52" s="21"/>
      <c r="B52" s="21"/>
      <c r="C52" s="23"/>
      <c r="D52" s="25"/>
      <c r="E52" s="25"/>
      <c r="F52" s="25"/>
      <c r="G52" s="25"/>
      <c r="H52" s="26"/>
      <c r="I52" s="50"/>
      <c r="J52" s="50"/>
      <c r="K52" s="50"/>
      <c r="L52" s="125"/>
      <c r="M52" s="63"/>
      <c r="N52" s="63"/>
      <c r="O52" s="63"/>
      <c r="P52" s="56"/>
      <c r="Q52" s="59"/>
      <c r="R52" s="59"/>
      <c r="S52" s="59"/>
      <c r="T52" s="119"/>
    </row>
    <row r="53" spans="1:40" x14ac:dyDescent="0.35">
      <c r="A53" s="21">
        <v>0</v>
      </c>
      <c r="B53" s="15">
        <v>0</v>
      </c>
      <c r="C53" s="15">
        <v>0</v>
      </c>
      <c r="D53" s="56">
        <v>0</v>
      </c>
      <c r="E53" s="50">
        <v>0</v>
      </c>
      <c r="F53" s="50">
        <v>0</v>
      </c>
      <c r="G53" s="50">
        <v>0</v>
      </c>
      <c r="H53" s="50">
        <v>0</v>
      </c>
      <c r="I53" s="50"/>
      <c r="K53" s="50"/>
      <c r="L53" s="125"/>
      <c r="M53" s="129" t="s">
        <v>185</v>
      </c>
      <c r="N53" s="63"/>
      <c r="O53" s="63"/>
      <c r="P53" s="56"/>
      <c r="Q53" s="59"/>
      <c r="R53" s="59"/>
      <c r="S53" s="59"/>
      <c r="T53" s="119"/>
      <c r="AB53" s="13"/>
      <c r="AC53" s="13"/>
      <c r="AD53" s="13"/>
      <c r="AE53" s="13"/>
      <c r="AF53" s="13"/>
      <c r="AG53" s="13"/>
      <c r="AH53" s="13"/>
      <c r="AI53" s="13"/>
      <c r="AJ53" s="13"/>
    </row>
    <row r="54" spans="1:40" ht="15" thickBot="1" x14ac:dyDescent="0.4">
      <c r="A54" s="50"/>
      <c r="B54" s="80"/>
      <c r="C54" s="80"/>
      <c r="D54" s="56"/>
      <c r="E54" s="50"/>
      <c r="F54" s="50"/>
      <c r="G54" s="50"/>
      <c r="H54" s="50"/>
      <c r="I54" s="50"/>
      <c r="K54" s="50"/>
      <c r="L54" s="125"/>
      <c r="M54" s="129"/>
      <c r="N54" s="63"/>
      <c r="O54" s="63"/>
      <c r="P54" s="56"/>
      <c r="Q54" s="59"/>
      <c r="R54" s="59"/>
      <c r="S54" s="59"/>
      <c r="T54" s="119"/>
      <c r="AD54" s="77"/>
      <c r="AE54" s="77"/>
      <c r="AF54" s="77"/>
      <c r="AG54" s="77"/>
      <c r="AH54" s="77"/>
      <c r="AI54" s="77"/>
      <c r="AJ54" s="77"/>
      <c r="AK54" s="77"/>
      <c r="AL54" s="77"/>
    </row>
    <row r="55" spans="1:40" x14ac:dyDescent="0.35">
      <c r="A55" s="90"/>
      <c r="B55" s="53" t="s">
        <v>182</v>
      </c>
      <c r="C55" s="15"/>
      <c r="D55" s="16"/>
      <c r="E55" s="15"/>
      <c r="F55" s="15"/>
      <c r="G55" s="15"/>
      <c r="H55" s="15"/>
      <c r="I55" s="50"/>
      <c r="K55" s="97"/>
      <c r="L55" s="120"/>
      <c r="M55" s="130" t="s">
        <v>184</v>
      </c>
      <c r="N55" s="120"/>
      <c r="O55" s="120"/>
      <c r="P55" s="44"/>
      <c r="Q55" s="44"/>
      <c r="R55" s="44"/>
      <c r="S55" s="44"/>
      <c r="T55" s="120"/>
      <c r="U55" s="120"/>
      <c r="V55" s="44"/>
      <c r="W55" s="120"/>
      <c r="X55" s="44"/>
      <c r="Y55" s="44"/>
      <c r="Z55" s="44"/>
      <c r="AA55" s="44"/>
      <c r="AB55" s="44"/>
      <c r="AC55" s="44"/>
      <c r="AD55" s="33" t="s">
        <v>177</v>
      </c>
      <c r="AE55" s="50"/>
      <c r="AF55" s="33"/>
      <c r="AG55" s="33" t="s">
        <v>30</v>
      </c>
      <c r="AH55" s="33" t="s">
        <v>31</v>
      </c>
      <c r="AI55" s="33" t="s">
        <v>32</v>
      </c>
      <c r="AJ55" s="33" t="s">
        <v>33</v>
      </c>
      <c r="AK55" s="33"/>
      <c r="AL55" s="33" t="s">
        <v>175</v>
      </c>
      <c r="AM55" s="44"/>
      <c r="AN55" s="45"/>
    </row>
    <row r="56" spans="1:40" ht="15.5" x14ac:dyDescent="0.35">
      <c r="A56" t="s">
        <v>20</v>
      </c>
      <c r="B56" t="s">
        <v>15</v>
      </c>
      <c r="C56" t="s">
        <v>16</v>
      </c>
      <c r="D56" t="s">
        <v>30</v>
      </c>
      <c r="E56" t="s">
        <v>31</v>
      </c>
      <c r="F56" t="s">
        <v>32</v>
      </c>
      <c r="G56" t="s">
        <v>33</v>
      </c>
      <c r="H56" t="s">
        <v>104</v>
      </c>
      <c r="I56" s="50"/>
      <c r="K56" s="92" t="s">
        <v>50</v>
      </c>
      <c r="L56" s="93" t="s">
        <v>151</v>
      </c>
      <c r="M56" s="93" t="s">
        <v>645</v>
      </c>
      <c r="N56" s="94" t="s">
        <v>152</v>
      </c>
      <c r="O56" s="133" t="s">
        <v>153</v>
      </c>
      <c r="P56" s="108" t="s">
        <v>154</v>
      </c>
      <c r="Q56" s="109" t="s">
        <v>155</v>
      </c>
      <c r="R56" s="110" t="s">
        <v>156</v>
      </c>
      <c r="S56" s="111" t="s">
        <v>157</v>
      </c>
      <c r="T56" s="112" t="s">
        <v>158</v>
      </c>
      <c r="U56" s="113" t="s">
        <v>159</v>
      </c>
      <c r="V56" s="114" t="s">
        <v>160</v>
      </c>
      <c r="W56" s="152" t="s">
        <v>271</v>
      </c>
      <c r="X56" s="152" t="s">
        <v>272</v>
      </c>
      <c r="Y56" s="123" t="s">
        <v>179</v>
      </c>
      <c r="Z56" s="107" t="s">
        <v>191</v>
      </c>
      <c r="AA56" s="114" t="s">
        <v>15</v>
      </c>
      <c r="AB56" s="115" t="s">
        <v>0</v>
      </c>
      <c r="AC56" s="84"/>
      <c r="AD56" s="33"/>
      <c r="AE56" s="50"/>
      <c r="AF56" s="33" t="s">
        <v>56</v>
      </c>
      <c r="AG56" s="33">
        <v>0.5</v>
      </c>
      <c r="AH56" s="33">
        <v>0.66</v>
      </c>
      <c r="AI56" s="33">
        <v>0.66</v>
      </c>
      <c r="AJ56" s="33">
        <v>0.82</v>
      </c>
      <c r="AK56" s="33"/>
      <c r="AL56" s="33">
        <v>100</v>
      </c>
      <c r="AM56" s="33"/>
      <c r="AN56" s="46"/>
    </row>
    <row r="57" spans="1:40" x14ac:dyDescent="0.35">
      <c r="A57" s="21" t="str">
        <f ca="1">uncrewedvehicles[[#This Row],[Column1]]&amp;"_"&amp;OFFSET(uncrewedvehicles[[#This Row],[Column3]],0,setup!C$9)&amp;""</f>
        <v>jeep_16</v>
      </c>
      <c r="B57" s="7" t="str">
        <f>uncrewedvehiclecaculator[[#This Row],[vehicle]]</f>
        <v>jeep</v>
      </c>
      <c r="C57" t="s">
        <v>99</v>
      </c>
      <c r="D57" s="11">
        <f>uncrewedvehiclecaculator[[#This Row],[points]]</f>
        <v>16</v>
      </c>
      <c r="E57" s="11">
        <f>uncrewedvehiclecaculator[[#This Row],[points]]</f>
        <v>16</v>
      </c>
      <c r="F57" s="11">
        <f>uncrewedvehiclecaculator[[#This Row],[points]]</f>
        <v>16</v>
      </c>
      <c r="G57" s="11">
        <f>uncrewedvehiclecaculator[[#This Row],[points]]</f>
        <v>16</v>
      </c>
      <c r="H57" t="s">
        <v>99</v>
      </c>
      <c r="I57" s="50"/>
      <c r="K57" s="65" t="s">
        <v>131</v>
      </c>
      <c r="L57" s="126">
        <v>0</v>
      </c>
      <c r="M57" s="126">
        <v>0</v>
      </c>
      <c r="N57" s="132">
        <v>0</v>
      </c>
      <c r="O57" s="134">
        <v>0</v>
      </c>
      <c r="P57" s="86">
        <v>0</v>
      </c>
      <c r="Q57" s="87">
        <v>0</v>
      </c>
      <c r="R57" s="88">
        <v>0</v>
      </c>
      <c r="S57" s="89">
        <v>8</v>
      </c>
      <c r="T57" s="121">
        <v>0</v>
      </c>
      <c r="U57" s="122">
        <v>0</v>
      </c>
      <c r="V57" s="65">
        <v>5</v>
      </c>
      <c r="W57" s="65"/>
      <c r="X57" s="65"/>
      <c r="Y57" s="51" t="s">
        <v>180</v>
      </c>
      <c r="Z57" s="63" t="s">
        <v>172</v>
      </c>
      <c r="AA57" s="65"/>
      <c r="AB57" s="33">
        <f>MROUND(AD57,1)</f>
        <v>16</v>
      </c>
      <c r="AC57" s="84"/>
      <c r="AD57" s="99">
        <f>((((P57*P57)*3.1)+((Q57*Q57)*2.6)+((R57*R57)*1.1))+(S57)+(T57*10)+(U57)+(W57)+(L57*L57*M57)+(V57)+(X57))*1.25</f>
        <v>16.25</v>
      </c>
      <c r="AE57" s="50"/>
      <c r="AF57" s="33" t="s">
        <v>57</v>
      </c>
      <c r="AG57" s="33">
        <v>0.16</v>
      </c>
      <c r="AH57" s="33">
        <v>0.16</v>
      </c>
      <c r="AI57" s="33">
        <v>0.33</v>
      </c>
      <c r="AJ57" s="33">
        <v>0.33</v>
      </c>
      <c r="AK57" s="33"/>
      <c r="AL57" s="33">
        <v>82</v>
      </c>
      <c r="AM57" s="33"/>
      <c r="AN57" s="46"/>
    </row>
    <row r="58" spans="1:40" x14ac:dyDescent="0.35">
      <c r="A58" s="21" t="str">
        <f ca="1">uncrewedvehicles[[#This Row],[Column1]]&amp;"_"&amp;OFFSET(uncrewedvehicles[[#This Row],[Column3]],0,setup!C$9)&amp;""</f>
        <v>truck_34</v>
      </c>
      <c r="B58" s="7" t="str">
        <f>uncrewedvehiclecaculator[[#This Row],[vehicle]]</f>
        <v>truck</v>
      </c>
      <c r="C58" t="s">
        <v>100</v>
      </c>
      <c r="D58" s="11">
        <f>uncrewedvehiclecaculator[[#This Row],[points]]</f>
        <v>34</v>
      </c>
      <c r="E58" s="11">
        <f>uncrewedvehiclecaculator[[#This Row],[points]]</f>
        <v>34</v>
      </c>
      <c r="F58" s="11">
        <f>uncrewedvehiclecaculator[[#This Row],[points]]</f>
        <v>34</v>
      </c>
      <c r="G58" s="11">
        <f>uncrewedvehiclecaculator[[#This Row],[points]]</f>
        <v>34</v>
      </c>
      <c r="H58" t="s">
        <v>100</v>
      </c>
      <c r="I58" s="50"/>
      <c r="K58" s="65" t="s">
        <v>132</v>
      </c>
      <c r="L58" s="126">
        <v>0</v>
      </c>
      <c r="M58" s="126">
        <v>0</v>
      </c>
      <c r="N58" s="132">
        <v>0</v>
      </c>
      <c r="O58" s="134">
        <v>0</v>
      </c>
      <c r="P58" s="86">
        <v>0</v>
      </c>
      <c r="Q58" s="87">
        <v>0</v>
      </c>
      <c r="R58" s="88">
        <v>0</v>
      </c>
      <c r="S58" s="89">
        <v>7</v>
      </c>
      <c r="T58" s="121">
        <v>0</v>
      </c>
      <c r="U58" s="122">
        <v>0</v>
      </c>
      <c r="V58" s="65">
        <v>20</v>
      </c>
      <c r="W58" s="65"/>
      <c r="X58" s="65"/>
      <c r="Y58" s="51" t="s">
        <v>180</v>
      </c>
      <c r="Z58" s="63" t="s">
        <v>172</v>
      </c>
      <c r="AA58" s="65"/>
      <c r="AB58" s="33">
        <f t="shared" ref="AB58:AB61" si="25">MROUND(AD58,1)</f>
        <v>34</v>
      </c>
      <c r="AC58" s="33"/>
      <c r="AD58" s="99">
        <f>((((P58*P58)*3.1)+((Q58*Q58)*2.6)+((R58*R58)*1.1))+(S58)+(T58*10)+(U58)+(W58)+(L58*L58*M58)+(V58)+(X58))*1.25</f>
        <v>33.75</v>
      </c>
      <c r="AE58" s="50"/>
      <c r="AF58" s="33"/>
      <c r="AG58" s="33">
        <f>SUM(AG56:AG57)</f>
        <v>0.66</v>
      </c>
      <c r="AH58" s="33">
        <f>SUM(AH56:AH57)</f>
        <v>0.82000000000000006</v>
      </c>
      <c r="AI58" s="33">
        <f>SUM(AI56:AI57)</f>
        <v>0.99</v>
      </c>
      <c r="AJ58" s="33">
        <f>SUM(AJ56:AJ57)</f>
        <v>1.1499999999999999</v>
      </c>
      <c r="AK58" s="33"/>
      <c r="AL58" s="33">
        <f>AL56/AL57</f>
        <v>1.2195121951219512</v>
      </c>
      <c r="AM58" s="33"/>
      <c r="AN58" s="46"/>
    </row>
    <row r="59" spans="1:40" x14ac:dyDescent="0.35">
      <c r="A59" s="21" t="str">
        <f ca="1">uncrewedvehicles[[#This Row],[Column1]]&amp;"_"&amp;OFFSET(uncrewedvehicles[[#This Row],[Column3]],0,setup!C$9)&amp;""</f>
        <v>bren gun carrier_70</v>
      </c>
      <c r="B59" s="7" t="str">
        <f>uncrewedvehiclecaculator[[#This Row],[vehicle]]</f>
        <v>bren gun carrier</v>
      </c>
      <c r="C59" t="s">
        <v>101</v>
      </c>
      <c r="D59" s="11">
        <f>uncrewedvehiclecaculator[[#This Row],[points]]</f>
        <v>70</v>
      </c>
      <c r="E59" s="11">
        <f>uncrewedvehiclecaculator[[#This Row],[points]]</f>
        <v>70</v>
      </c>
      <c r="F59" s="11">
        <f>uncrewedvehiclecaculator[[#This Row],[points]]</f>
        <v>70</v>
      </c>
      <c r="G59" s="11">
        <f>uncrewedvehiclecaculator[[#This Row],[points]]</f>
        <v>70</v>
      </c>
      <c r="H59" t="s">
        <v>101</v>
      </c>
      <c r="I59" s="50"/>
      <c r="K59" s="65" t="s">
        <v>133</v>
      </c>
      <c r="L59" s="126">
        <v>0</v>
      </c>
      <c r="M59" s="126">
        <v>0</v>
      </c>
      <c r="N59" s="132">
        <v>0</v>
      </c>
      <c r="O59" s="134">
        <v>0</v>
      </c>
      <c r="P59" s="86">
        <v>2</v>
      </c>
      <c r="Q59" s="87">
        <v>2</v>
      </c>
      <c r="R59" s="88">
        <v>1</v>
      </c>
      <c r="S59" s="89">
        <v>7</v>
      </c>
      <c r="T59" s="121">
        <v>4</v>
      </c>
      <c r="U59" s="122">
        <v>0</v>
      </c>
      <c r="V59" s="65">
        <v>5</v>
      </c>
      <c r="W59" s="65"/>
      <c r="X59" s="65">
        <v>-20</v>
      </c>
      <c r="Y59" s="51" t="s">
        <v>180</v>
      </c>
      <c r="Z59" s="63" t="s">
        <v>171</v>
      </c>
      <c r="AA59" s="65"/>
      <c r="AB59" s="33">
        <f t="shared" si="25"/>
        <v>70</v>
      </c>
      <c r="AC59" s="33"/>
      <c r="AD59" s="99">
        <f>((((P59*P59)*3.1)+((Q59*Q59)*2.6)+((R59*R59)*1.1))+(S59)+(T59*10)+(U59)+(W59)+(L59*L59*M59)+(V59)+(X59))*1.25</f>
        <v>69.875</v>
      </c>
      <c r="AE59" s="50"/>
      <c r="AF59" s="50"/>
      <c r="AG59" s="13"/>
      <c r="AH59" s="33"/>
      <c r="AI59" s="33"/>
      <c r="AJ59" s="33"/>
      <c r="AK59" s="33"/>
      <c r="AL59" s="13"/>
      <c r="AM59" s="33"/>
      <c r="AN59" s="46"/>
    </row>
    <row r="60" spans="1:40" x14ac:dyDescent="0.35">
      <c r="A60" s="21" t="str">
        <f ca="1">uncrewedvehicles[[#This Row],[Column1]]&amp;"_"&amp;OFFSET(uncrewedvehicles[[#This Row],[Column3]],0,setup!C$9)&amp;""</f>
        <v>armoured car_95</v>
      </c>
      <c r="B60" s="7" t="str">
        <f>uncrewedvehiclecaculator[[#This Row],[vehicle]]</f>
        <v>armoured car</v>
      </c>
      <c r="C60" t="s">
        <v>102</v>
      </c>
      <c r="D60" s="11">
        <f>uncrewedvehiclecaculator[[#This Row],[points]]</f>
        <v>95</v>
      </c>
      <c r="E60" s="11">
        <f>uncrewedvehiclecaculator[[#This Row],[points]]</f>
        <v>95</v>
      </c>
      <c r="F60" s="11">
        <f>uncrewedvehiclecaculator[[#This Row],[points]]</f>
        <v>95</v>
      </c>
      <c r="G60" s="11">
        <f>uncrewedvehiclecaculator[[#This Row],[points]]</f>
        <v>95</v>
      </c>
      <c r="H60" t="s">
        <v>102</v>
      </c>
      <c r="I60" s="50"/>
      <c r="K60" s="65" t="s">
        <v>134</v>
      </c>
      <c r="L60" s="126">
        <v>0</v>
      </c>
      <c r="M60" s="126">
        <v>0</v>
      </c>
      <c r="N60" s="132">
        <v>0</v>
      </c>
      <c r="O60" s="134">
        <v>0</v>
      </c>
      <c r="P60" s="86">
        <v>2</v>
      </c>
      <c r="Q60" s="87">
        <v>2</v>
      </c>
      <c r="R60" s="88">
        <v>1</v>
      </c>
      <c r="S60" s="89">
        <v>7</v>
      </c>
      <c r="T60" s="121">
        <v>4</v>
      </c>
      <c r="U60" s="122">
        <v>0</v>
      </c>
      <c r="V60" s="63">
        <v>5</v>
      </c>
      <c r="W60" s="63"/>
      <c r="X60" s="63"/>
      <c r="Y60" s="51" t="s">
        <v>180</v>
      </c>
      <c r="Z60" s="63" t="s">
        <v>172</v>
      </c>
      <c r="AA60" s="63"/>
      <c r="AB60" s="33">
        <f t="shared" si="25"/>
        <v>95</v>
      </c>
      <c r="AC60" s="33"/>
      <c r="AD60" s="99">
        <f>((((P60*P60)*3.1)+((Q60*Q60)*2.6)+((R60*R60)*1.1))+(S60)+(T60*10)+(U60)+(W60)+(L60*L60*M60)+(V60)+(X60))*1.25</f>
        <v>94.875</v>
      </c>
      <c r="AE60" s="50"/>
      <c r="AF60" s="50"/>
      <c r="AG60" s="13"/>
      <c r="AH60" s="33"/>
      <c r="AI60" s="33"/>
      <c r="AJ60" s="33"/>
      <c r="AK60" s="33"/>
      <c r="AL60" s="33"/>
      <c r="AM60" s="33"/>
      <c r="AN60" s="46"/>
    </row>
    <row r="61" spans="1:40" x14ac:dyDescent="0.35">
      <c r="A61" s="21" t="str">
        <f ca="1">uncrewedvehicles[[#This Row],[Column1]]&amp;"_"&amp;OFFSET(uncrewedvehicles[[#This Row],[Column3]],0,setup!C$9)&amp;""</f>
        <v>half track_89</v>
      </c>
      <c r="B61" s="7" t="str">
        <f>uncrewedvehiclecaculator[[#This Row],[vehicle]]</f>
        <v>half track</v>
      </c>
      <c r="C61" t="s">
        <v>103</v>
      </c>
      <c r="D61" s="11">
        <f>uncrewedvehiclecaculator[[#This Row],[points]]</f>
        <v>89</v>
      </c>
      <c r="E61" s="11">
        <f>uncrewedvehiclecaculator[[#This Row],[points]]</f>
        <v>89</v>
      </c>
      <c r="F61" s="11">
        <f>uncrewedvehiclecaculator[[#This Row],[points]]</f>
        <v>89</v>
      </c>
      <c r="G61" s="11">
        <f>uncrewedvehiclecaculator[[#This Row],[points]]</f>
        <v>89</v>
      </c>
      <c r="H61" t="s">
        <v>103</v>
      </c>
      <c r="I61" s="59"/>
      <c r="K61" s="100" t="s">
        <v>135</v>
      </c>
      <c r="L61" s="126">
        <v>0</v>
      </c>
      <c r="M61" s="126">
        <v>0</v>
      </c>
      <c r="N61" s="132">
        <v>0</v>
      </c>
      <c r="O61" s="134">
        <v>0</v>
      </c>
      <c r="P61" s="86">
        <v>2</v>
      </c>
      <c r="Q61" s="87">
        <v>2</v>
      </c>
      <c r="R61" s="88">
        <v>1</v>
      </c>
      <c r="S61" s="89">
        <v>7</v>
      </c>
      <c r="T61" s="121">
        <v>5</v>
      </c>
      <c r="U61" s="122">
        <v>0</v>
      </c>
      <c r="V61" s="65">
        <v>10</v>
      </c>
      <c r="W61" s="65"/>
      <c r="X61" s="65">
        <v>-20</v>
      </c>
      <c r="Y61" s="51" t="s">
        <v>180</v>
      </c>
      <c r="Z61" s="63" t="s">
        <v>172</v>
      </c>
      <c r="AA61" s="65"/>
      <c r="AB61" s="33">
        <f t="shared" si="25"/>
        <v>89</v>
      </c>
      <c r="AC61" s="33"/>
      <c r="AD61" s="99">
        <f>((((P61*P61)*3.1)+((Q61*Q61)*2.6)+((R61*R61)*1.1))+(S61)+(T61*10)+(U61)+(W61)+(L61*L61*M61)+(V61)+(X61))*1.25</f>
        <v>88.625</v>
      </c>
      <c r="AE61" s="50"/>
      <c r="AF61" s="50"/>
      <c r="AG61" s="13"/>
      <c r="AH61" s="33"/>
      <c r="AI61" s="33"/>
      <c r="AJ61" s="33"/>
      <c r="AK61" s="33"/>
      <c r="AL61" s="33"/>
      <c r="AM61" s="33"/>
      <c r="AN61" s="46"/>
    </row>
    <row r="62" spans="1:40" x14ac:dyDescent="0.35">
      <c r="A62" s="21">
        <v>0</v>
      </c>
      <c r="B62" s="34">
        <v>0</v>
      </c>
      <c r="C62">
        <v>0</v>
      </c>
      <c r="D62" s="31">
        <v>0</v>
      </c>
      <c r="E62" s="31">
        <v>0</v>
      </c>
      <c r="F62" s="31">
        <v>0</v>
      </c>
      <c r="G62" s="31">
        <v>0</v>
      </c>
      <c r="H62">
        <v>0</v>
      </c>
      <c r="I62" s="59"/>
      <c r="K62" s="76"/>
      <c r="L62" s="63"/>
      <c r="M62" s="100"/>
      <c r="N62" s="63"/>
      <c r="O62" s="63"/>
      <c r="P62" s="50"/>
      <c r="Q62" s="50"/>
      <c r="R62" s="63"/>
      <c r="S62" s="63"/>
      <c r="T62" s="63"/>
      <c r="U62" s="63"/>
      <c r="V62" s="50"/>
      <c r="W62" s="63"/>
      <c r="X62" s="65"/>
      <c r="Y62" s="33"/>
      <c r="Z62" s="33"/>
      <c r="AA62" s="33"/>
      <c r="AB62" s="99"/>
      <c r="AC62" s="50"/>
      <c r="AD62" s="50"/>
      <c r="AE62" s="13"/>
      <c r="AF62" s="33"/>
      <c r="AG62" s="33"/>
      <c r="AH62" s="33"/>
      <c r="AI62" s="33"/>
      <c r="AJ62" s="33"/>
      <c r="AK62" s="33"/>
      <c r="AL62" s="33"/>
      <c r="AM62" s="33"/>
      <c r="AN62" s="46"/>
    </row>
    <row r="63" spans="1:40" x14ac:dyDescent="0.35">
      <c r="A63" s="147"/>
      <c r="B63" s="148"/>
      <c r="C63" s="135"/>
      <c r="D63" s="145"/>
      <c r="E63" s="145"/>
      <c r="F63" s="145"/>
      <c r="G63" s="145"/>
      <c r="I63" s="59"/>
      <c r="K63" s="76"/>
      <c r="L63" s="63"/>
      <c r="M63" s="100"/>
      <c r="N63" s="63"/>
      <c r="O63" s="63"/>
      <c r="P63" s="50"/>
      <c r="Q63" s="50"/>
      <c r="R63" s="63"/>
      <c r="S63" s="63"/>
      <c r="T63" s="63"/>
      <c r="U63" s="63"/>
      <c r="V63" s="50"/>
      <c r="W63" s="63"/>
      <c r="X63" s="65"/>
      <c r="Y63" s="33"/>
      <c r="Z63" s="33"/>
      <c r="AA63" s="33"/>
      <c r="AB63" s="99"/>
      <c r="AC63" s="50"/>
      <c r="AD63" s="50"/>
      <c r="AE63" s="13"/>
      <c r="AF63" s="33"/>
      <c r="AG63" s="33"/>
      <c r="AH63" s="33"/>
      <c r="AI63" s="33"/>
      <c r="AJ63" s="33"/>
      <c r="AK63" s="33"/>
      <c r="AL63" s="33"/>
      <c r="AM63" s="33"/>
      <c r="AN63" s="46"/>
    </row>
    <row r="64" spans="1:40" x14ac:dyDescent="0.35">
      <c r="A64" s="149"/>
      <c r="B64" s="55" t="s">
        <v>181</v>
      </c>
      <c r="C64" s="146"/>
      <c r="D64" s="145"/>
      <c r="E64" s="145"/>
      <c r="F64" s="145"/>
      <c r="G64" s="145"/>
      <c r="H64" s="13"/>
      <c r="I64" s="59"/>
      <c r="K64" s="76"/>
      <c r="L64" s="63"/>
      <c r="M64" s="131" t="s">
        <v>176</v>
      </c>
      <c r="N64" s="63"/>
      <c r="O64" s="63"/>
      <c r="P64" s="50"/>
      <c r="Q64" s="50"/>
      <c r="R64" s="63"/>
      <c r="S64" s="63"/>
      <c r="T64" s="63"/>
      <c r="U64" s="63"/>
      <c r="V64" s="50"/>
      <c r="W64" s="63"/>
      <c r="X64" s="33"/>
      <c r="Y64" s="33"/>
      <c r="Z64" s="33"/>
      <c r="AA64" s="33"/>
      <c r="AB64" s="33"/>
      <c r="AC64" s="33"/>
      <c r="AD64" s="99" t="s">
        <v>177</v>
      </c>
      <c r="AE64" s="101" t="s">
        <v>30</v>
      </c>
      <c r="AF64" s="102" t="s">
        <v>31</v>
      </c>
      <c r="AG64" s="101" t="s">
        <v>32</v>
      </c>
      <c r="AH64" s="101" t="s">
        <v>33</v>
      </c>
      <c r="AI64" s="101"/>
      <c r="AJ64" s="101" t="s">
        <v>30</v>
      </c>
      <c r="AK64" s="102" t="s">
        <v>31</v>
      </c>
      <c r="AL64" s="101" t="s">
        <v>32</v>
      </c>
      <c r="AM64" s="101" t="s">
        <v>33</v>
      </c>
      <c r="AN64" s="46"/>
    </row>
    <row r="65" spans="1:40" ht="15.5" x14ac:dyDescent="0.35">
      <c r="A65" t="s">
        <v>20</v>
      </c>
      <c r="B65" s="42" t="s">
        <v>15</v>
      </c>
      <c r="C65" s="10" t="s">
        <v>16</v>
      </c>
      <c r="D65" t="s">
        <v>30</v>
      </c>
      <c r="E65" t="s">
        <v>31</v>
      </c>
      <c r="F65" t="s">
        <v>32</v>
      </c>
      <c r="G65" t="s">
        <v>33</v>
      </c>
      <c r="I65" s="59"/>
      <c r="K65" s="116" t="s">
        <v>190</v>
      </c>
      <c r="L65" s="93" t="s">
        <v>151</v>
      </c>
      <c r="M65" s="93" t="s">
        <v>645</v>
      </c>
      <c r="N65" s="94" t="s">
        <v>152</v>
      </c>
      <c r="O65" s="133" t="s">
        <v>153</v>
      </c>
      <c r="P65" s="108" t="s">
        <v>154</v>
      </c>
      <c r="Q65" s="109" t="s">
        <v>155</v>
      </c>
      <c r="R65" s="110" t="s">
        <v>156</v>
      </c>
      <c r="S65" s="111" t="s">
        <v>157</v>
      </c>
      <c r="T65" s="112" t="s">
        <v>158</v>
      </c>
      <c r="U65" s="113" t="s">
        <v>159</v>
      </c>
      <c r="V65" s="114" t="s">
        <v>160</v>
      </c>
      <c r="W65" s="152" t="s">
        <v>270</v>
      </c>
      <c r="X65" s="152" t="s">
        <v>272</v>
      </c>
      <c r="Y65" s="123" t="s">
        <v>179</v>
      </c>
      <c r="Z65" s="107" t="s">
        <v>178</v>
      </c>
      <c r="AA65" s="107" t="s">
        <v>186</v>
      </c>
      <c r="AB65" s="115" t="s">
        <v>0</v>
      </c>
      <c r="AC65" s="33"/>
      <c r="AD65" s="99"/>
      <c r="AE65" s="101"/>
      <c r="AF65" s="102"/>
      <c r="AG65" s="101"/>
      <c r="AH65" s="101"/>
      <c r="AI65" s="101"/>
      <c r="AJ65" s="101"/>
      <c r="AK65" s="102"/>
      <c r="AL65" s="101"/>
      <c r="AM65" s="101"/>
      <c r="AN65" s="46"/>
    </row>
    <row r="66" spans="1:40" x14ac:dyDescent="0.35">
      <c r="A66" s="21" t="str">
        <f ca="1">crewedtanks[[#This Row],[Column1]]&amp;"_"&amp;OFFSET(crewedtanks[[#This Row],[Column3]],0,setup!C$9)&amp;""</f>
        <v>Chi-ha_210</v>
      </c>
      <c r="B66" s="42" t="str">
        <f t="shared" ref="B66:B76" si="26">K66</f>
        <v>Chi-ha</v>
      </c>
      <c r="C66" s="10"/>
      <c r="D66" s="96">
        <f>MROUND(AE66,1)</f>
        <v>185</v>
      </c>
      <c r="E66" s="96">
        <f t="shared" ref="E66:E81" si="27">AF66</f>
        <v>210</v>
      </c>
      <c r="F66" s="96">
        <f t="shared" ref="F66:F92" si="28">MROUND(AG66,1)</f>
        <v>248</v>
      </c>
      <c r="G66" s="96">
        <f>MROUND(AH66,1)</f>
        <v>292</v>
      </c>
      <c r="I66" s="59"/>
      <c r="K66" s="157" t="s">
        <v>162</v>
      </c>
      <c r="L66" s="155">
        <v>5</v>
      </c>
      <c r="M66" s="155">
        <v>1</v>
      </c>
      <c r="N66" s="160">
        <v>32</v>
      </c>
      <c r="O66" s="161">
        <v>3</v>
      </c>
      <c r="P66" s="162">
        <v>3</v>
      </c>
      <c r="Q66" s="163">
        <v>3</v>
      </c>
      <c r="R66" s="164">
        <v>2</v>
      </c>
      <c r="S66" s="165">
        <v>7</v>
      </c>
      <c r="T66" s="166">
        <v>5</v>
      </c>
      <c r="U66" s="167">
        <v>30</v>
      </c>
      <c r="V66" s="157">
        <v>0</v>
      </c>
      <c r="W66" s="33"/>
      <c r="X66" s="33"/>
      <c r="Y66" s="168" t="s">
        <v>329</v>
      </c>
      <c r="Z66" s="158" t="s">
        <v>170</v>
      </c>
      <c r="AA66" s="158" t="s">
        <v>187</v>
      </c>
      <c r="AB66" s="33">
        <f t="shared" ref="AB66:AB78" si="29">MROUND(AD66,5)</f>
        <v>210</v>
      </c>
      <c r="AC66" s="33"/>
      <c r="AD66" s="99">
        <f>((((P66*P66)*3.1)+((Q66*Q66)*2.6)+((R66*R66)*1.1))+(S66)+(T66*10)+(U66)+(W66)+(L66*L66*M66)+(V66/2)+(X66))*1.25</f>
        <v>209.625</v>
      </c>
      <c r="AE66" s="56">
        <f>AB66-AJ66</f>
        <v>184.84756097560975</v>
      </c>
      <c r="AF66" s="56">
        <f>AB66</f>
        <v>210</v>
      </c>
      <c r="AG66" s="56">
        <f>AB66+AL66</f>
        <v>247.72865853658536</v>
      </c>
      <c r="AH66" s="56">
        <f t="shared" ref="AH66:AH75" si="30">AB66+AL66+AM66</f>
        <v>291.55487804878049</v>
      </c>
      <c r="AI66" s="56"/>
      <c r="AJ66" s="56">
        <f>$AN66*$AG$58</f>
        <v>25.152439024390244</v>
      </c>
      <c r="AK66" s="47">
        <f>L66*L66*M66*1.25</f>
        <v>31.25</v>
      </c>
      <c r="AL66" s="56">
        <f>$AN66*$AI$58</f>
        <v>37.728658536585364</v>
      </c>
      <c r="AM66" s="56">
        <f>$AN66*$AJ$58</f>
        <v>43.826219512195117</v>
      </c>
      <c r="AN66" s="48">
        <f>AK66*$AL$58</f>
        <v>38.109756097560975</v>
      </c>
    </row>
    <row r="67" spans="1:40" x14ac:dyDescent="0.35">
      <c r="A67" s="21" t="str">
        <f ca="1">crewedtanks[[#This Row],[Column1]]&amp;"_"&amp;OFFSET(crewedtanks[[#This Row],[Column3]],0,setup!C$9)&amp;""</f>
        <v>Valentine_270</v>
      </c>
      <c r="B67" s="42" t="str">
        <f>K67</f>
        <v>Valentine</v>
      </c>
      <c r="C67" s="35"/>
      <c r="D67" s="96">
        <f t="shared" ref="D67:D92" si="31">MROUND(AE67,1)</f>
        <v>245</v>
      </c>
      <c r="E67" s="96">
        <f t="shared" si="27"/>
        <v>270</v>
      </c>
      <c r="F67" s="96">
        <f t="shared" si="28"/>
        <v>308</v>
      </c>
      <c r="G67" s="96">
        <f t="shared" ref="G67:G92" si="32">MROUND(AH67,1)</f>
        <v>352</v>
      </c>
      <c r="I67" s="59"/>
      <c r="K67" s="158" t="s">
        <v>273</v>
      </c>
      <c r="L67" s="155">
        <v>5</v>
      </c>
      <c r="M67" s="155">
        <v>1</v>
      </c>
      <c r="N67" s="160">
        <v>32</v>
      </c>
      <c r="O67" s="161">
        <v>3</v>
      </c>
      <c r="P67" s="162">
        <v>5</v>
      </c>
      <c r="Q67" s="163">
        <v>3</v>
      </c>
      <c r="R67" s="164">
        <v>2</v>
      </c>
      <c r="S67" s="165">
        <v>6</v>
      </c>
      <c r="T67" s="166">
        <v>5</v>
      </c>
      <c r="U67" s="167">
        <v>30</v>
      </c>
      <c r="V67" s="157">
        <v>0</v>
      </c>
      <c r="W67" s="33"/>
      <c r="X67" s="33"/>
      <c r="Y67" s="168" t="s">
        <v>329</v>
      </c>
      <c r="Z67" s="158" t="s">
        <v>171</v>
      </c>
      <c r="AA67" s="158" t="s">
        <v>303</v>
      </c>
      <c r="AB67" s="33">
        <f t="shared" si="29"/>
        <v>270</v>
      </c>
      <c r="AC67" s="33"/>
      <c r="AD67" s="99">
        <f t="shared" ref="AD67:AD98" si="33">((((P67*P67)*3.1)+((Q67*Q67)*2.6)+((R67*R67)*1.1))+(S67)+(T67*10)+(U67)+(W67)+(L67*L67*M67)+(V67/2)+(X67))*1.25</f>
        <v>270.375</v>
      </c>
      <c r="AE67" s="56">
        <f t="shared" ref="AE67:AE100" si="34">AB67-AJ67</f>
        <v>244.84756097560975</v>
      </c>
      <c r="AF67" s="56">
        <f t="shared" ref="AF67:AF74" si="35">AB67</f>
        <v>270</v>
      </c>
      <c r="AG67" s="56">
        <f t="shared" ref="AG67:AG75" si="36">AB67+AL67</f>
        <v>307.72865853658539</v>
      </c>
      <c r="AH67" s="56">
        <f t="shared" si="30"/>
        <v>351.55487804878049</v>
      </c>
      <c r="AI67" s="56"/>
      <c r="AJ67" s="56">
        <f t="shared" ref="AJ67:AJ101" si="37">$AN67*$AG$58</f>
        <v>25.152439024390244</v>
      </c>
      <c r="AK67" s="47">
        <f t="shared" ref="AK67:AK101" si="38">L67*L67*M67*1.25</f>
        <v>31.25</v>
      </c>
      <c r="AL67" s="56">
        <f t="shared" ref="AL67:AL101" si="39">$AN67*$AI$58</f>
        <v>37.728658536585364</v>
      </c>
      <c r="AM67" s="56">
        <f t="shared" ref="AM67:AM101" si="40">$AN67*$AJ$58</f>
        <v>43.826219512195117</v>
      </c>
      <c r="AN67" s="48">
        <f t="shared" ref="AN67:AN101" si="41">AK67*$AL$58</f>
        <v>38.109756097560975</v>
      </c>
    </row>
    <row r="68" spans="1:40" x14ac:dyDescent="0.35">
      <c r="A68" s="21" t="str">
        <f ca="1">crewedtanks[[#This Row],[Column1]]&amp;"_"&amp;OFFSET(crewedtanks[[#This Row],[Column3]],0,setup!C$9)&amp;""</f>
        <v>Valentine MK.IX_285</v>
      </c>
      <c r="B68" s="42" t="str">
        <f t="shared" si="26"/>
        <v>Valentine MK.IX</v>
      </c>
      <c r="C68" s="36"/>
      <c r="D68" s="96">
        <f t="shared" si="31"/>
        <v>249</v>
      </c>
      <c r="E68" s="96">
        <f t="shared" si="27"/>
        <v>285</v>
      </c>
      <c r="F68" s="96">
        <f t="shared" si="28"/>
        <v>339</v>
      </c>
      <c r="G68" s="96">
        <f t="shared" si="32"/>
        <v>402</v>
      </c>
      <c r="I68" s="59"/>
      <c r="K68" s="158" t="s">
        <v>274</v>
      </c>
      <c r="L68" s="155">
        <v>6</v>
      </c>
      <c r="M68" s="155">
        <v>1</v>
      </c>
      <c r="N68" s="160">
        <v>34</v>
      </c>
      <c r="O68" s="161">
        <v>3</v>
      </c>
      <c r="P68" s="162">
        <v>5</v>
      </c>
      <c r="Q68" s="163">
        <v>3</v>
      </c>
      <c r="R68" s="164">
        <v>2</v>
      </c>
      <c r="S68" s="165">
        <v>6</v>
      </c>
      <c r="T68" s="166">
        <v>5</v>
      </c>
      <c r="U68" s="167">
        <v>30</v>
      </c>
      <c r="V68" s="157">
        <v>0</v>
      </c>
      <c r="W68" s="33"/>
      <c r="X68" s="33"/>
      <c r="Y68" s="168" t="s">
        <v>329</v>
      </c>
      <c r="Z68" s="158" t="s">
        <v>171</v>
      </c>
      <c r="AA68" s="158" t="s">
        <v>304</v>
      </c>
      <c r="AB68" s="33">
        <f t="shared" si="29"/>
        <v>285</v>
      </c>
      <c r="AC68" s="33"/>
      <c r="AD68" s="99">
        <f t="shared" si="33"/>
        <v>284.125</v>
      </c>
      <c r="AE68" s="56">
        <f t="shared" si="34"/>
        <v>248.78048780487805</v>
      </c>
      <c r="AF68" s="56">
        <f t="shared" si="35"/>
        <v>285</v>
      </c>
      <c r="AG68" s="56">
        <f t="shared" si="36"/>
        <v>339.32926829268291</v>
      </c>
      <c r="AH68" s="56">
        <f t="shared" si="30"/>
        <v>402.4390243902439</v>
      </c>
      <c r="AI68" s="56"/>
      <c r="AJ68" s="56">
        <f t="shared" si="37"/>
        <v>36.219512195121951</v>
      </c>
      <c r="AK68" s="47">
        <f t="shared" si="38"/>
        <v>45</v>
      </c>
      <c r="AL68" s="56">
        <f t="shared" si="39"/>
        <v>54.329268292682926</v>
      </c>
      <c r="AM68" s="56">
        <f t="shared" si="40"/>
        <v>63.109756097560968</v>
      </c>
      <c r="AN68" s="48">
        <f t="shared" si="41"/>
        <v>54.878048780487802</v>
      </c>
    </row>
    <row r="69" spans="1:40" x14ac:dyDescent="0.35">
      <c r="A69" s="21" t="str">
        <f ca="1">crewedtanks[[#This Row],[Column1]]&amp;"_"&amp;OFFSET(crewedtanks[[#This Row],[Column3]],0,setup!C$9)&amp;""</f>
        <v>BT-7_175</v>
      </c>
      <c r="B69" s="42" t="str">
        <f t="shared" si="26"/>
        <v>BT-7</v>
      </c>
      <c r="C69" s="37"/>
      <c r="D69" s="96">
        <f t="shared" si="31"/>
        <v>150</v>
      </c>
      <c r="E69" s="96">
        <f t="shared" si="27"/>
        <v>175</v>
      </c>
      <c r="F69" s="96">
        <f t="shared" si="28"/>
        <v>213</v>
      </c>
      <c r="G69" s="96">
        <f t="shared" si="32"/>
        <v>257</v>
      </c>
      <c r="I69" s="59"/>
      <c r="K69" s="154" t="s">
        <v>136</v>
      </c>
      <c r="L69" s="156">
        <v>5</v>
      </c>
      <c r="M69" s="156">
        <v>1</v>
      </c>
      <c r="N69" s="169">
        <v>30</v>
      </c>
      <c r="O69" s="170">
        <v>3</v>
      </c>
      <c r="P69" s="171">
        <v>2</v>
      </c>
      <c r="Q69" s="172">
        <v>2</v>
      </c>
      <c r="R69" s="173">
        <v>2</v>
      </c>
      <c r="S69" s="174">
        <v>8</v>
      </c>
      <c r="T69" s="175">
        <v>5</v>
      </c>
      <c r="U69" s="176">
        <v>30</v>
      </c>
      <c r="V69" s="157">
        <v>0</v>
      </c>
      <c r="W69" s="33"/>
      <c r="X69" s="33"/>
      <c r="Y69" s="179" t="s">
        <v>329</v>
      </c>
      <c r="Z69" s="158" t="s">
        <v>326</v>
      </c>
      <c r="AA69" s="158" t="s">
        <v>188</v>
      </c>
      <c r="AB69" s="33">
        <f t="shared" si="29"/>
        <v>175</v>
      </c>
      <c r="AC69" s="33"/>
      <c r="AD69" s="99">
        <f t="shared" si="33"/>
        <v>175.25</v>
      </c>
      <c r="AE69" s="56">
        <f t="shared" si="34"/>
        <v>149.84756097560975</v>
      </c>
      <c r="AF69" s="56">
        <f t="shared" si="35"/>
        <v>175</v>
      </c>
      <c r="AG69" s="56">
        <f t="shared" si="36"/>
        <v>212.72865853658536</v>
      </c>
      <c r="AH69" s="56">
        <f t="shared" si="30"/>
        <v>256.55487804878049</v>
      </c>
      <c r="AI69" s="56"/>
      <c r="AJ69" s="56">
        <f t="shared" si="37"/>
        <v>25.152439024390244</v>
      </c>
      <c r="AK69" s="47">
        <f t="shared" si="38"/>
        <v>31.25</v>
      </c>
      <c r="AL69" s="56">
        <f t="shared" si="39"/>
        <v>37.728658536585364</v>
      </c>
      <c r="AM69" s="56">
        <f t="shared" si="40"/>
        <v>43.826219512195117</v>
      </c>
      <c r="AN69" s="48">
        <f t="shared" si="41"/>
        <v>38.109756097560975</v>
      </c>
    </row>
    <row r="70" spans="1:40" x14ac:dyDescent="0.35">
      <c r="A70" s="21" t="str">
        <f ca="1">crewedtanks[[#This Row],[Column1]]&amp;"_"&amp;OFFSET(crewedtanks[[#This Row],[Column3]],0,setup!C$9)&amp;""</f>
        <v>BT-42 HOW_265</v>
      </c>
      <c r="B70" s="42" t="str">
        <f t="shared" si="26"/>
        <v>BT-42 HOW</v>
      </c>
      <c r="C70" s="38"/>
      <c r="D70" s="96">
        <f t="shared" si="31"/>
        <v>164</v>
      </c>
      <c r="E70" s="96">
        <f t="shared" si="27"/>
        <v>265</v>
      </c>
      <c r="F70" s="96">
        <f t="shared" si="28"/>
        <v>416</v>
      </c>
      <c r="G70" s="96">
        <f t="shared" si="32"/>
        <v>591</v>
      </c>
      <c r="I70" s="59"/>
      <c r="K70" s="154" t="s">
        <v>275</v>
      </c>
      <c r="L70" s="156">
        <v>10</v>
      </c>
      <c r="M70" s="156">
        <v>1</v>
      </c>
      <c r="N70" s="169">
        <v>30</v>
      </c>
      <c r="O70" s="170">
        <v>5</v>
      </c>
      <c r="P70" s="171">
        <v>2</v>
      </c>
      <c r="Q70" s="172">
        <v>2</v>
      </c>
      <c r="R70" s="173">
        <v>2</v>
      </c>
      <c r="S70" s="174">
        <v>6</v>
      </c>
      <c r="T70" s="175">
        <v>5</v>
      </c>
      <c r="U70" s="176">
        <v>30</v>
      </c>
      <c r="V70" s="157">
        <v>0</v>
      </c>
      <c r="W70" s="33"/>
      <c r="X70" s="33"/>
      <c r="Y70" s="179" t="s">
        <v>329</v>
      </c>
      <c r="Z70" s="158" t="s">
        <v>169</v>
      </c>
      <c r="AA70" s="158" t="s">
        <v>305</v>
      </c>
      <c r="AB70" s="33">
        <f t="shared" si="29"/>
        <v>265</v>
      </c>
      <c r="AC70" s="33"/>
      <c r="AD70" s="99">
        <f t="shared" si="33"/>
        <v>266.5</v>
      </c>
      <c r="AE70" s="56">
        <f t="shared" si="34"/>
        <v>164.39024390243901</v>
      </c>
      <c r="AF70" s="56">
        <f t="shared" si="35"/>
        <v>265</v>
      </c>
      <c r="AG70" s="56">
        <f t="shared" si="36"/>
        <v>415.91463414634143</v>
      </c>
      <c r="AH70" s="56">
        <f t="shared" si="30"/>
        <v>591.21951219512187</v>
      </c>
      <c r="AI70" s="56"/>
      <c r="AJ70" s="56">
        <f t="shared" si="37"/>
        <v>100.60975609756098</v>
      </c>
      <c r="AK70" s="47">
        <f t="shared" si="38"/>
        <v>125</v>
      </c>
      <c r="AL70" s="56">
        <f t="shared" si="39"/>
        <v>150.91463414634146</v>
      </c>
      <c r="AM70" s="56">
        <f t="shared" si="40"/>
        <v>175.30487804878047</v>
      </c>
      <c r="AN70" s="48">
        <f t="shared" si="41"/>
        <v>152.4390243902439</v>
      </c>
    </row>
    <row r="71" spans="1:40" x14ac:dyDescent="0.35">
      <c r="A71" s="21" t="str">
        <f ca="1">crewedtanks[[#This Row],[Column1]]&amp;"_"&amp;OFFSET(crewedtanks[[#This Row],[Column3]],0,setup!C$9)&amp;""</f>
        <v>Schwerer 234/1 AC_170</v>
      </c>
      <c r="B71" s="42" t="str">
        <f t="shared" si="26"/>
        <v>Schwerer 234/1 AC</v>
      </c>
      <c r="C71" s="37"/>
      <c r="D71" s="96">
        <f t="shared" si="31"/>
        <v>152</v>
      </c>
      <c r="E71" s="96">
        <f t="shared" si="27"/>
        <v>170</v>
      </c>
      <c r="F71" s="96">
        <f t="shared" si="28"/>
        <v>197</v>
      </c>
      <c r="G71" s="96">
        <f t="shared" si="32"/>
        <v>229</v>
      </c>
      <c r="I71" s="59"/>
      <c r="K71" s="154" t="s">
        <v>276</v>
      </c>
      <c r="L71" s="156">
        <v>3</v>
      </c>
      <c r="M71" s="156">
        <v>2</v>
      </c>
      <c r="N71" s="169">
        <v>28</v>
      </c>
      <c r="O71" s="170">
        <v>2</v>
      </c>
      <c r="P71" s="171">
        <v>3</v>
      </c>
      <c r="Q71" s="172">
        <v>2</v>
      </c>
      <c r="R71" s="173">
        <v>1</v>
      </c>
      <c r="S71" s="174">
        <v>8</v>
      </c>
      <c r="T71" s="175">
        <v>4</v>
      </c>
      <c r="U71" s="176">
        <v>30</v>
      </c>
      <c r="V71" s="157">
        <v>0</v>
      </c>
      <c r="W71" s="33"/>
      <c r="X71" s="33"/>
      <c r="Y71" s="168" t="s">
        <v>329</v>
      </c>
      <c r="Z71" s="2" t="s">
        <v>168</v>
      </c>
      <c r="AA71" s="2" t="s">
        <v>306</v>
      </c>
      <c r="AB71" s="33">
        <f t="shared" si="29"/>
        <v>170</v>
      </c>
      <c r="AC71" s="33"/>
      <c r="AD71" s="99">
        <f t="shared" si="33"/>
        <v>169.25</v>
      </c>
      <c r="AE71" s="56">
        <f t="shared" si="34"/>
        <v>151.89024390243901</v>
      </c>
      <c r="AF71" s="56">
        <f t="shared" si="35"/>
        <v>170</v>
      </c>
      <c r="AG71" s="56">
        <f t="shared" si="36"/>
        <v>197.16463414634146</v>
      </c>
      <c r="AH71" s="56">
        <f t="shared" si="30"/>
        <v>228.71951219512195</v>
      </c>
      <c r="AI71" s="56"/>
      <c r="AJ71" s="56">
        <f t="shared" si="37"/>
        <v>18.109756097560975</v>
      </c>
      <c r="AK71" s="47">
        <f t="shared" si="38"/>
        <v>22.5</v>
      </c>
      <c r="AL71" s="56">
        <f t="shared" si="39"/>
        <v>27.164634146341463</v>
      </c>
      <c r="AM71" s="56">
        <f t="shared" si="40"/>
        <v>31.554878048780484</v>
      </c>
      <c r="AN71" s="48">
        <f t="shared" si="41"/>
        <v>27.439024390243901</v>
      </c>
    </row>
    <row r="72" spans="1:40" x14ac:dyDescent="0.35">
      <c r="A72" s="21" t="str">
        <f ca="1">crewedtanks[[#This Row],[Column1]]&amp;"_"&amp;OFFSET(crewedtanks[[#This Row],[Column3]],0,setup!C$9)&amp;""</f>
        <v>Schwerer 234/2_180</v>
      </c>
      <c r="B72" s="42" t="str">
        <f t="shared" si="26"/>
        <v>Schwerer 234/2</v>
      </c>
      <c r="C72" s="39"/>
      <c r="D72" s="96">
        <f t="shared" si="31"/>
        <v>155</v>
      </c>
      <c r="E72" s="96">
        <f t="shared" si="27"/>
        <v>180</v>
      </c>
      <c r="F72" s="96">
        <f t="shared" si="28"/>
        <v>218</v>
      </c>
      <c r="G72" s="96">
        <f t="shared" si="32"/>
        <v>262</v>
      </c>
      <c r="I72" s="59" t="s">
        <v>151</v>
      </c>
      <c r="J72" t="s">
        <v>152</v>
      </c>
      <c r="K72" s="154" t="s">
        <v>277</v>
      </c>
      <c r="L72" s="156">
        <v>5</v>
      </c>
      <c r="M72" s="156">
        <v>1</v>
      </c>
      <c r="N72" s="169">
        <v>32</v>
      </c>
      <c r="O72" s="170">
        <v>3</v>
      </c>
      <c r="P72" s="171">
        <v>3</v>
      </c>
      <c r="Q72" s="172">
        <v>2</v>
      </c>
      <c r="R72" s="173">
        <v>1</v>
      </c>
      <c r="S72" s="174">
        <v>8</v>
      </c>
      <c r="T72" s="175">
        <v>4</v>
      </c>
      <c r="U72" s="176">
        <v>30</v>
      </c>
      <c r="V72" s="157">
        <v>0</v>
      </c>
      <c r="W72" s="33"/>
      <c r="X72" s="33"/>
      <c r="Y72" s="168" t="s">
        <v>329</v>
      </c>
      <c r="Z72" s="2" t="s">
        <v>168</v>
      </c>
      <c r="AA72" s="2" t="s">
        <v>307</v>
      </c>
      <c r="AB72" s="33">
        <f t="shared" si="29"/>
        <v>180</v>
      </c>
      <c r="AC72" s="33"/>
      <c r="AD72" s="99">
        <f t="shared" si="33"/>
        <v>178</v>
      </c>
      <c r="AE72" s="56">
        <f t="shared" si="34"/>
        <v>154.84756097560975</v>
      </c>
      <c r="AF72" s="56">
        <f t="shared" si="35"/>
        <v>180</v>
      </c>
      <c r="AG72" s="56">
        <f t="shared" si="36"/>
        <v>217.72865853658536</v>
      </c>
      <c r="AH72" s="56">
        <f t="shared" si="30"/>
        <v>261.55487804878049</v>
      </c>
      <c r="AI72" s="56"/>
      <c r="AJ72" s="56">
        <f t="shared" si="37"/>
        <v>25.152439024390244</v>
      </c>
      <c r="AK72" s="47">
        <f t="shared" si="38"/>
        <v>31.25</v>
      </c>
      <c r="AL72" s="56">
        <f t="shared" si="39"/>
        <v>37.728658536585364</v>
      </c>
      <c r="AM72" s="56">
        <f t="shared" si="40"/>
        <v>43.826219512195117</v>
      </c>
      <c r="AN72" s="48">
        <f t="shared" si="41"/>
        <v>38.109756097560975</v>
      </c>
    </row>
    <row r="73" spans="1:40" x14ac:dyDescent="0.35">
      <c r="A73" s="21" t="str">
        <f ca="1">crewedtanks[[#This Row],[Column1]]&amp;"_"&amp;OFFSET(crewedtanks[[#This Row],[Column3]],0,setup!C$9)&amp;""</f>
        <v>Schwerer 234/3 HOW_205</v>
      </c>
      <c r="B73" s="42" t="str">
        <f t="shared" si="26"/>
        <v>Schwerer 234/3 HOW</v>
      </c>
      <c r="C73" s="37"/>
      <c r="D73" s="96">
        <f t="shared" si="31"/>
        <v>156</v>
      </c>
      <c r="E73" s="96">
        <f t="shared" si="27"/>
        <v>205</v>
      </c>
      <c r="F73" s="96">
        <f t="shared" si="28"/>
        <v>279</v>
      </c>
      <c r="G73" s="96">
        <f t="shared" si="32"/>
        <v>365</v>
      </c>
      <c r="I73">
        <v>11</v>
      </c>
      <c r="J73" s="117">
        <v>44</v>
      </c>
      <c r="K73" s="154" t="s">
        <v>302</v>
      </c>
      <c r="L73" s="156">
        <v>7</v>
      </c>
      <c r="M73" s="156">
        <v>1</v>
      </c>
      <c r="N73" s="169">
        <v>30</v>
      </c>
      <c r="O73" s="170">
        <v>4</v>
      </c>
      <c r="P73" s="171">
        <v>3</v>
      </c>
      <c r="Q73" s="172">
        <v>2</v>
      </c>
      <c r="R73" s="173">
        <v>1</v>
      </c>
      <c r="S73" s="174">
        <v>7</v>
      </c>
      <c r="T73" s="175">
        <v>4</v>
      </c>
      <c r="U73" s="176">
        <v>30</v>
      </c>
      <c r="V73" s="157">
        <v>0</v>
      </c>
      <c r="W73" s="33"/>
      <c r="X73" s="33"/>
      <c r="Y73" s="168" t="s">
        <v>329</v>
      </c>
      <c r="Z73" s="2" t="s">
        <v>168</v>
      </c>
      <c r="AA73" s="2" t="s">
        <v>308</v>
      </c>
      <c r="AB73" s="33">
        <f t="shared" si="29"/>
        <v>205</v>
      </c>
      <c r="AC73" s="33"/>
      <c r="AD73" s="99">
        <f t="shared" si="33"/>
        <v>206.75</v>
      </c>
      <c r="AE73" s="56">
        <f t="shared" si="34"/>
        <v>155.70121951219511</v>
      </c>
      <c r="AF73" s="56">
        <f t="shared" si="35"/>
        <v>205</v>
      </c>
      <c r="AG73" s="56">
        <f t="shared" si="36"/>
        <v>278.94817073170731</v>
      </c>
      <c r="AH73" s="56">
        <f t="shared" si="30"/>
        <v>364.84756097560972</v>
      </c>
      <c r="AI73" s="56"/>
      <c r="AJ73" s="56">
        <f t="shared" si="37"/>
        <v>49.298780487804876</v>
      </c>
      <c r="AK73" s="47">
        <f t="shared" si="38"/>
        <v>61.25</v>
      </c>
      <c r="AL73" s="56">
        <f t="shared" si="39"/>
        <v>73.948170731707307</v>
      </c>
      <c r="AM73" s="56">
        <f t="shared" si="40"/>
        <v>85.899390243902431</v>
      </c>
      <c r="AN73" s="48">
        <f t="shared" si="41"/>
        <v>74.695121951219505</v>
      </c>
    </row>
    <row r="74" spans="1:40" x14ac:dyDescent="0.35">
      <c r="A74" s="21" t="str">
        <f ca="1">crewedtanks[[#This Row],[Column1]]&amp;"_"&amp;OFFSET(crewedtanks[[#This Row],[Column3]],0,setup!C$9)&amp;""</f>
        <v>Schwerer 234/4_245</v>
      </c>
      <c r="B74" s="42" t="str">
        <f t="shared" si="26"/>
        <v>Schwerer 234/4</v>
      </c>
      <c r="C74" s="36"/>
      <c r="D74" s="96">
        <f t="shared" si="31"/>
        <v>164</v>
      </c>
      <c r="E74" s="96">
        <f t="shared" si="27"/>
        <v>245</v>
      </c>
      <c r="F74" s="96">
        <f t="shared" si="28"/>
        <v>367</v>
      </c>
      <c r="G74" s="96">
        <f t="shared" si="32"/>
        <v>509</v>
      </c>
      <c r="I74">
        <v>10</v>
      </c>
      <c r="J74" s="117">
        <v>42</v>
      </c>
      <c r="K74" s="154" t="s">
        <v>278</v>
      </c>
      <c r="L74" s="156">
        <v>9</v>
      </c>
      <c r="M74" s="156">
        <v>1</v>
      </c>
      <c r="N74" s="169">
        <v>40</v>
      </c>
      <c r="O74" s="170">
        <v>4</v>
      </c>
      <c r="P74" s="171">
        <v>3</v>
      </c>
      <c r="Q74" s="172">
        <v>2</v>
      </c>
      <c r="R74" s="173">
        <v>1</v>
      </c>
      <c r="S74" s="174">
        <v>7</v>
      </c>
      <c r="T74" s="175">
        <v>4</v>
      </c>
      <c r="U74" s="176">
        <v>30</v>
      </c>
      <c r="V74" s="157">
        <v>0</v>
      </c>
      <c r="W74" s="33"/>
      <c r="X74" s="33"/>
      <c r="Y74" s="168" t="s">
        <v>329</v>
      </c>
      <c r="Z74" s="2" t="s">
        <v>168</v>
      </c>
      <c r="AA74" s="2" t="s">
        <v>309</v>
      </c>
      <c r="AB74" s="33">
        <f t="shared" si="29"/>
        <v>245</v>
      </c>
      <c r="AC74" s="33"/>
      <c r="AD74" s="99">
        <f t="shared" si="33"/>
        <v>246.75</v>
      </c>
      <c r="AE74" s="56">
        <f t="shared" si="34"/>
        <v>163.5060975609756</v>
      </c>
      <c r="AF74" s="56">
        <f t="shared" si="35"/>
        <v>245</v>
      </c>
      <c r="AG74" s="56">
        <f t="shared" si="36"/>
        <v>367.24085365853659</v>
      </c>
      <c r="AH74" s="56">
        <f t="shared" si="30"/>
        <v>509.23780487804879</v>
      </c>
      <c r="AI74" s="56"/>
      <c r="AJ74" s="56">
        <f t="shared" si="37"/>
        <v>81.493902439024396</v>
      </c>
      <c r="AK74" s="47">
        <f t="shared" si="38"/>
        <v>101.25</v>
      </c>
      <c r="AL74" s="56">
        <f t="shared" si="39"/>
        <v>122.24085365853658</v>
      </c>
      <c r="AM74" s="56">
        <f t="shared" si="40"/>
        <v>141.99695121951217</v>
      </c>
      <c r="AN74" s="48">
        <f t="shared" si="41"/>
        <v>123.47560975609755</v>
      </c>
    </row>
    <row r="75" spans="1:40" x14ac:dyDescent="0.35">
      <c r="A75" s="21" t="str">
        <f ca="1">crewedtanks[[#This Row],[Column1]]&amp;"_"&amp;OFFSET(crewedtanks[[#This Row],[Column3]],0,setup!C$9)&amp;""</f>
        <v>Humber AC_150</v>
      </c>
      <c r="B75" s="42" t="str">
        <f t="shared" si="26"/>
        <v>Humber AC</v>
      </c>
      <c r="C75" s="40"/>
      <c r="D75" s="96">
        <f t="shared" si="31"/>
        <v>132</v>
      </c>
      <c r="E75" s="96">
        <f t="shared" si="27"/>
        <v>150</v>
      </c>
      <c r="F75" s="96">
        <f t="shared" si="28"/>
        <v>177</v>
      </c>
      <c r="G75" s="96">
        <f t="shared" si="32"/>
        <v>209</v>
      </c>
      <c r="I75">
        <v>9</v>
      </c>
      <c r="J75" s="117">
        <v>40</v>
      </c>
      <c r="K75" s="154" t="s">
        <v>279</v>
      </c>
      <c r="L75" s="156">
        <v>3</v>
      </c>
      <c r="M75" s="156">
        <v>2</v>
      </c>
      <c r="N75" s="169">
        <v>28</v>
      </c>
      <c r="O75" s="170">
        <v>2</v>
      </c>
      <c r="P75" s="171">
        <v>2</v>
      </c>
      <c r="Q75" s="172">
        <v>2</v>
      </c>
      <c r="R75" s="173">
        <v>1</v>
      </c>
      <c r="S75" s="174">
        <v>8</v>
      </c>
      <c r="T75" s="175">
        <v>4</v>
      </c>
      <c r="U75" s="176">
        <v>30</v>
      </c>
      <c r="V75" s="157">
        <v>0</v>
      </c>
      <c r="W75" s="33"/>
      <c r="X75" s="33"/>
      <c r="Y75" s="179" t="s">
        <v>329</v>
      </c>
      <c r="Z75" s="2" t="s">
        <v>174</v>
      </c>
      <c r="AA75" s="2" t="s">
        <v>310</v>
      </c>
      <c r="AB75" s="33">
        <f t="shared" si="29"/>
        <v>150</v>
      </c>
      <c r="AC75" s="33"/>
      <c r="AD75" s="99">
        <f t="shared" si="33"/>
        <v>149.875</v>
      </c>
      <c r="AE75" s="56">
        <f t="shared" si="34"/>
        <v>131.89024390243901</v>
      </c>
      <c r="AF75" s="56">
        <f>AB75</f>
        <v>150</v>
      </c>
      <c r="AG75" s="56">
        <f t="shared" si="36"/>
        <v>177.16463414634146</v>
      </c>
      <c r="AH75" s="56">
        <f t="shared" si="30"/>
        <v>208.71951219512195</v>
      </c>
      <c r="AI75" s="56"/>
      <c r="AJ75" s="56">
        <f t="shared" si="37"/>
        <v>18.109756097560975</v>
      </c>
      <c r="AK75" s="47">
        <f t="shared" si="38"/>
        <v>22.5</v>
      </c>
      <c r="AL75" s="56">
        <f t="shared" si="39"/>
        <v>27.164634146341463</v>
      </c>
      <c r="AM75" s="56">
        <f t="shared" si="40"/>
        <v>31.554878048780484</v>
      </c>
      <c r="AN75" s="48">
        <f t="shared" si="41"/>
        <v>27.439024390243901</v>
      </c>
    </row>
    <row r="76" spans="1:40" x14ac:dyDescent="0.35">
      <c r="A76" s="21" t="str">
        <f ca="1">crewedtanks[[#This Row],[Column1]]&amp;"_"&amp;OFFSET(crewedtanks[[#This Row],[Column3]],0,setup!C$9)&amp;""</f>
        <v>T17 Staghound MK.III_160</v>
      </c>
      <c r="B76" s="42" t="str">
        <f t="shared" si="26"/>
        <v>T17 Staghound MK.III</v>
      </c>
      <c r="C76" s="39"/>
      <c r="D76" s="96">
        <f t="shared" si="31"/>
        <v>135</v>
      </c>
      <c r="E76" s="96">
        <f t="shared" si="27"/>
        <v>160</v>
      </c>
      <c r="F76" s="96">
        <f t="shared" si="28"/>
        <v>198</v>
      </c>
      <c r="G76" s="96">
        <f t="shared" si="32"/>
        <v>242</v>
      </c>
      <c r="I76">
        <v>8</v>
      </c>
      <c r="J76" s="117">
        <v>38</v>
      </c>
      <c r="K76" s="154" t="s">
        <v>280</v>
      </c>
      <c r="L76" s="156">
        <v>5</v>
      </c>
      <c r="M76" s="156">
        <v>1</v>
      </c>
      <c r="N76" s="169">
        <v>32</v>
      </c>
      <c r="O76" s="170">
        <v>3</v>
      </c>
      <c r="P76" s="171">
        <v>2</v>
      </c>
      <c r="Q76" s="172">
        <v>2</v>
      </c>
      <c r="R76" s="173">
        <v>1</v>
      </c>
      <c r="S76" s="174">
        <v>8</v>
      </c>
      <c r="T76" s="175">
        <v>4</v>
      </c>
      <c r="U76" s="176">
        <v>30</v>
      </c>
      <c r="V76" s="157">
        <v>0</v>
      </c>
      <c r="W76" s="33"/>
      <c r="X76" s="33"/>
      <c r="Y76" s="179" t="s">
        <v>329</v>
      </c>
      <c r="Z76" s="2" t="s">
        <v>171</v>
      </c>
      <c r="AA76" s="2" t="s">
        <v>303</v>
      </c>
      <c r="AB76" s="33">
        <f t="shared" si="29"/>
        <v>160</v>
      </c>
      <c r="AC76" s="33"/>
      <c r="AD76" s="99">
        <f t="shared" si="33"/>
        <v>158.625</v>
      </c>
      <c r="AE76" s="56">
        <f t="shared" si="34"/>
        <v>134.84756097560975</v>
      </c>
      <c r="AF76" s="56">
        <f t="shared" ref="AF76:AF100" si="42">AB76</f>
        <v>160</v>
      </c>
      <c r="AG76" s="56">
        <f t="shared" ref="AG76:AG100" si="43">AB76+AL76</f>
        <v>197.72865853658536</v>
      </c>
      <c r="AH76" s="56">
        <f t="shared" ref="AH76:AH100" si="44">AB76+AL76+AM76</f>
        <v>241.55487804878047</v>
      </c>
      <c r="AI76" s="56"/>
      <c r="AJ76" s="56">
        <f t="shared" si="37"/>
        <v>25.152439024390244</v>
      </c>
      <c r="AK76" s="47">
        <f t="shared" si="38"/>
        <v>31.25</v>
      </c>
      <c r="AL76" s="56">
        <f t="shared" si="39"/>
        <v>37.728658536585364</v>
      </c>
      <c r="AM76" s="56">
        <f t="shared" si="40"/>
        <v>43.826219512195117</v>
      </c>
      <c r="AN76" s="48">
        <f t="shared" si="41"/>
        <v>38.109756097560975</v>
      </c>
    </row>
    <row r="77" spans="1:40" x14ac:dyDescent="0.35">
      <c r="A77" s="21" t="str">
        <f ca="1">crewedtanks[[#This Row],[Column1]]&amp;"_"&amp;OFFSET(crewedtanks[[#This Row],[Column3]],0,setup!C$9)&amp;""</f>
        <v>Panzer III J_275</v>
      </c>
      <c r="B77" s="42" t="str">
        <f>K77</f>
        <v>Panzer III J</v>
      </c>
      <c r="C77" s="37"/>
      <c r="D77" s="96">
        <f t="shared" si="31"/>
        <v>250</v>
      </c>
      <c r="E77" s="96">
        <f t="shared" si="27"/>
        <v>275</v>
      </c>
      <c r="F77" s="96">
        <f t="shared" si="28"/>
        <v>313</v>
      </c>
      <c r="G77" s="96">
        <f t="shared" si="32"/>
        <v>357</v>
      </c>
      <c r="I77">
        <v>7</v>
      </c>
      <c r="J77" s="117">
        <v>36</v>
      </c>
      <c r="K77" s="154" t="s">
        <v>333</v>
      </c>
      <c r="L77" s="156">
        <v>5</v>
      </c>
      <c r="M77" s="156">
        <v>1</v>
      </c>
      <c r="N77" s="169">
        <v>32</v>
      </c>
      <c r="O77" s="170">
        <v>3</v>
      </c>
      <c r="P77" s="171">
        <v>5</v>
      </c>
      <c r="Q77" s="172">
        <v>3</v>
      </c>
      <c r="R77" s="173">
        <v>3</v>
      </c>
      <c r="S77" s="174">
        <v>6</v>
      </c>
      <c r="T77" s="175">
        <v>5</v>
      </c>
      <c r="U77" s="176">
        <v>30</v>
      </c>
      <c r="V77" s="168">
        <v>0</v>
      </c>
      <c r="W77" s="33"/>
      <c r="X77" s="33"/>
      <c r="Y77" s="179" t="s">
        <v>329</v>
      </c>
      <c r="Z77" s="2" t="s">
        <v>334</v>
      </c>
      <c r="AA77" s="2" t="s">
        <v>307</v>
      </c>
      <c r="AB77" s="33">
        <f t="shared" si="29"/>
        <v>275</v>
      </c>
      <c r="AC77" s="33"/>
      <c r="AD77" s="99">
        <f t="shared" ref="AD77:AD83" si="45">((((P77*P77)*3.1)+((Q77*Q77)*2.6)+((R77*R77)*1.1))+(S77)+(T77*10)+(U77)+(W77)+(L77*L77*M77)+(V77/2)+(X77))*1.25</f>
        <v>277.25</v>
      </c>
      <c r="AE77" s="56">
        <f t="shared" si="34"/>
        <v>249.84756097560975</v>
      </c>
      <c r="AF77" s="56">
        <f t="shared" si="42"/>
        <v>275</v>
      </c>
      <c r="AG77" s="56">
        <f t="shared" si="43"/>
        <v>312.72865853658539</v>
      </c>
      <c r="AH77" s="56">
        <f t="shared" si="44"/>
        <v>356.55487804878049</v>
      </c>
      <c r="AI77" s="56"/>
      <c r="AJ77" s="56">
        <f t="shared" si="37"/>
        <v>25.152439024390244</v>
      </c>
      <c r="AK77" s="47">
        <f t="shared" si="38"/>
        <v>31.25</v>
      </c>
      <c r="AL77" s="56">
        <f t="shared" si="39"/>
        <v>37.728658536585364</v>
      </c>
      <c r="AM77" s="56">
        <f t="shared" si="40"/>
        <v>43.826219512195117</v>
      </c>
      <c r="AN77" s="48">
        <f t="shared" si="41"/>
        <v>38.109756097560975</v>
      </c>
    </row>
    <row r="78" spans="1:40" x14ac:dyDescent="0.35">
      <c r="A78" s="21" t="str">
        <f ca="1">crewedtanks[[#This Row],[Column1]]&amp;"_"&amp;OFFSET(crewedtanks[[#This Row],[Column3]],0,setup!C$9)&amp;""</f>
        <v>M24 Chaffee_220</v>
      </c>
      <c r="B78" s="42" t="str">
        <f t="shared" ref="B78:B121" si="46">K78</f>
        <v>M24 Chaffee</v>
      </c>
      <c r="C78" s="37"/>
      <c r="D78" s="96">
        <f t="shared" si="31"/>
        <v>171</v>
      </c>
      <c r="E78" s="96">
        <f t="shared" si="27"/>
        <v>220</v>
      </c>
      <c r="F78" s="96">
        <f t="shared" si="28"/>
        <v>294</v>
      </c>
      <c r="G78" s="96">
        <f t="shared" si="32"/>
        <v>380</v>
      </c>
      <c r="I78">
        <v>6</v>
      </c>
      <c r="J78" s="117">
        <v>34</v>
      </c>
      <c r="K78" s="154" t="s">
        <v>281</v>
      </c>
      <c r="L78" s="156">
        <v>7</v>
      </c>
      <c r="M78" s="156">
        <v>1</v>
      </c>
      <c r="N78" s="169">
        <v>36</v>
      </c>
      <c r="O78" s="170">
        <v>4</v>
      </c>
      <c r="P78" s="171">
        <v>3</v>
      </c>
      <c r="Q78" s="172">
        <v>2</v>
      </c>
      <c r="R78" s="173">
        <v>2</v>
      </c>
      <c r="S78" s="174">
        <v>6</v>
      </c>
      <c r="T78" s="175">
        <v>5</v>
      </c>
      <c r="U78" s="176">
        <v>30</v>
      </c>
      <c r="V78" s="157">
        <v>0</v>
      </c>
      <c r="W78" s="33"/>
      <c r="X78" s="33"/>
      <c r="Y78" s="179" t="s">
        <v>329</v>
      </c>
      <c r="Z78" s="2" t="s">
        <v>327</v>
      </c>
      <c r="AA78" s="2" t="s">
        <v>312</v>
      </c>
      <c r="AB78" s="33">
        <f t="shared" si="29"/>
        <v>220</v>
      </c>
      <c r="AC78" s="33"/>
      <c r="AD78" s="99">
        <f t="shared" si="45"/>
        <v>222.125</v>
      </c>
      <c r="AE78" s="56">
        <f t="shared" si="34"/>
        <v>170.70121951219511</v>
      </c>
      <c r="AF78" s="56">
        <f t="shared" si="42"/>
        <v>220</v>
      </c>
      <c r="AG78" s="56">
        <f t="shared" si="43"/>
        <v>293.94817073170731</v>
      </c>
      <c r="AH78" s="56">
        <f t="shared" si="44"/>
        <v>379.84756097560972</v>
      </c>
      <c r="AI78" s="56"/>
      <c r="AJ78" s="56">
        <f t="shared" si="37"/>
        <v>49.298780487804876</v>
      </c>
      <c r="AK78" s="47">
        <f t="shared" si="38"/>
        <v>61.25</v>
      </c>
      <c r="AL78" s="56">
        <f t="shared" si="39"/>
        <v>73.948170731707307</v>
      </c>
      <c r="AM78" s="56">
        <f t="shared" si="40"/>
        <v>85.899390243902431</v>
      </c>
      <c r="AN78" s="48">
        <f t="shared" si="41"/>
        <v>74.695121951219505</v>
      </c>
    </row>
    <row r="79" spans="1:40" x14ac:dyDescent="0.35">
      <c r="A79" s="21" t="str">
        <f ca="1">crewedtanks[[#This Row],[Column1]]&amp;"_"&amp;OFFSET(crewedtanks[[#This Row],[Column3]],0,setup!C$9)&amp;""</f>
        <v>M3 Stuart_210</v>
      </c>
      <c r="B79" s="42" t="str">
        <f t="shared" si="46"/>
        <v>M3 Stuart</v>
      </c>
      <c r="C79" s="38"/>
      <c r="D79" s="96">
        <f t="shared" si="31"/>
        <v>194</v>
      </c>
      <c r="E79" s="96">
        <f>AF79</f>
        <v>210</v>
      </c>
      <c r="F79" s="96">
        <f t="shared" si="28"/>
        <v>234</v>
      </c>
      <c r="G79" s="96">
        <f t="shared" si="32"/>
        <v>262</v>
      </c>
      <c r="I79">
        <v>5</v>
      </c>
      <c r="J79" s="117">
        <v>32</v>
      </c>
      <c r="K79" s="154" t="s">
        <v>282</v>
      </c>
      <c r="L79" s="156">
        <v>4</v>
      </c>
      <c r="M79" s="156">
        <v>1</v>
      </c>
      <c r="N79" s="169">
        <v>30</v>
      </c>
      <c r="O79" s="170">
        <v>2</v>
      </c>
      <c r="P79" s="171">
        <v>4</v>
      </c>
      <c r="Q79" s="172">
        <v>2</v>
      </c>
      <c r="R79" s="173">
        <v>2</v>
      </c>
      <c r="S79" s="174">
        <v>7</v>
      </c>
      <c r="T79" s="175">
        <v>5</v>
      </c>
      <c r="U79" s="176">
        <v>30</v>
      </c>
      <c r="V79" s="157">
        <v>0</v>
      </c>
      <c r="W79" s="33"/>
      <c r="X79" s="33"/>
      <c r="Y79" s="179" t="s">
        <v>329</v>
      </c>
      <c r="Z79" s="2" t="s">
        <v>174</v>
      </c>
      <c r="AA79" s="2" t="s">
        <v>313</v>
      </c>
      <c r="AB79" s="33">
        <f t="shared" ref="AB79:AB100" si="47">MROUND(AD79,5)</f>
        <v>210</v>
      </c>
      <c r="AC79" s="33"/>
      <c r="AD79" s="99">
        <f t="shared" si="45"/>
        <v>209.25</v>
      </c>
      <c r="AE79" s="56">
        <f t="shared" si="34"/>
        <v>193.90243902439025</v>
      </c>
      <c r="AF79" s="56">
        <f t="shared" si="42"/>
        <v>210</v>
      </c>
      <c r="AG79" s="56">
        <f t="shared" si="43"/>
        <v>234.14634146341464</v>
      </c>
      <c r="AH79" s="56">
        <f t="shared" si="44"/>
        <v>262.19512195121951</v>
      </c>
      <c r="AI79" s="56"/>
      <c r="AJ79" s="56">
        <f t="shared" si="37"/>
        <v>16.097560975609756</v>
      </c>
      <c r="AK79" s="47">
        <f t="shared" si="38"/>
        <v>20</v>
      </c>
      <c r="AL79" s="56">
        <f t="shared" si="39"/>
        <v>24.146341463414632</v>
      </c>
      <c r="AM79" s="56">
        <f t="shared" si="40"/>
        <v>28.048780487804876</v>
      </c>
      <c r="AN79" s="48">
        <f t="shared" si="41"/>
        <v>24.390243902439025</v>
      </c>
    </row>
    <row r="80" spans="1:40" x14ac:dyDescent="0.35">
      <c r="A80" s="21" t="str">
        <f ca="1">crewedtanks[[#This Row],[Column1]]&amp;"_"&amp;OFFSET(crewedtanks[[#This Row],[Column3]],0,setup!C$9)&amp;""</f>
        <v>M18 Hellcat_200</v>
      </c>
      <c r="B80" s="42" t="str">
        <f t="shared" si="46"/>
        <v>M18 Hellcat</v>
      </c>
      <c r="C80" s="41"/>
      <c r="D80" s="96">
        <f t="shared" si="31"/>
        <v>119</v>
      </c>
      <c r="E80" s="96">
        <f t="shared" si="27"/>
        <v>200</v>
      </c>
      <c r="F80" s="96">
        <f t="shared" si="28"/>
        <v>322</v>
      </c>
      <c r="G80" s="96">
        <f t="shared" si="32"/>
        <v>464</v>
      </c>
      <c r="I80">
        <v>4</v>
      </c>
      <c r="J80" s="117">
        <v>30</v>
      </c>
      <c r="K80" s="154" t="s">
        <v>283</v>
      </c>
      <c r="L80" s="156">
        <v>9</v>
      </c>
      <c r="M80" s="156">
        <v>1</v>
      </c>
      <c r="N80" s="169">
        <v>40</v>
      </c>
      <c r="O80" s="170">
        <v>4</v>
      </c>
      <c r="P80" s="171">
        <v>2</v>
      </c>
      <c r="Q80" s="172">
        <v>2</v>
      </c>
      <c r="R80" s="173">
        <v>1</v>
      </c>
      <c r="S80" s="174">
        <v>8</v>
      </c>
      <c r="T80" s="175">
        <v>5</v>
      </c>
      <c r="U80" s="176">
        <v>30</v>
      </c>
      <c r="V80" s="157">
        <v>0</v>
      </c>
      <c r="W80" s="33"/>
      <c r="X80" s="33">
        <v>-32</v>
      </c>
      <c r="Y80" s="179" t="s">
        <v>329</v>
      </c>
      <c r="Z80" s="2" t="s">
        <v>167</v>
      </c>
      <c r="AA80" s="2" t="s">
        <v>189</v>
      </c>
      <c r="AB80" s="33">
        <f t="shared" si="47"/>
        <v>200</v>
      </c>
      <c r="AC80" s="33"/>
      <c r="AD80" s="99">
        <f t="shared" si="45"/>
        <v>201.125</v>
      </c>
      <c r="AE80" s="56">
        <f t="shared" si="34"/>
        <v>118.5060975609756</v>
      </c>
      <c r="AF80" s="56">
        <f t="shared" si="42"/>
        <v>200</v>
      </c>
      <c r="AG80" s="56">
        <f t="shared" si="43"/>
        <v>322.24085365853659</v>
      </c>
      <c r="AH80" s="56">
        <f t="shared" si="44"/>
        <v>464.23780487804879</v>
      </c>
      <c r="AI80" s="56"/>
      <c r="AJ80" s="56">
        <f t="shared" si="37"/>
        <v>81.493902439024396</v>
      </c>
      <c r="AK80" s="47">
        <f t="shared" si="38"/>
        <v>101.25</v>
      </c>
      <c r="AL80" s="56">
        <f t="shared" si="39"/>
        <v>122.24085365853658</v>
      </c>
      <c r="AM80" s="56">
        <f t="shared" si="40"/>
        <v>141.99695121951217</v>
      </c>
      <c r="AN80" s="48">
        <f t="shared" si="41"/>
        <v>123.47560975609755</v>
      </c>
    </row>
    <row r="81" spans="1:40" x14ac:dyDescent="0.35">
      <c r="A81" s="21" t="str">
        <f ca="1">crewedtanks[[#This Row],[Column1]]&amp;"_"&amp;OFFSET(crewedtanks[[#This Row],[Column3]],0,setup!C$9)&amp;""</f>
        <v>m10_300</v>
      </c>
      <c r="B81" s="42" t="str">
        <f t="shared" si="46"/>
        <v>m10</v>
      </c>
      <c r="C81" s="38"/>
      <c r="D81" s="96">
        <f t="shared" si="31"/>
        <v>219</v>
      </c>
      <c r="E81" s="96">
        <f t="shared" si="27"/>
        <v>300</v>
      </c>
      <c r="F81" s="96">
        <f t="shared" si="28"/>
        <v>422</v>
      </c>
      <c r="G81" s="96">
        <f t="shared" si="32"/>
        <v>564</v>
      </c>
      <c r="I81">
        <v>3</v>
      </c>
      <c r="J81" s="117">
        <v>28</v>
      </c>
      <c r="K81" s="159" t="s">
        <v>257</v>
      </c>
      <c r="L81" s="156">
        <v>9</v>
      </c>
      <c r="M81" s="156">
        <v>1</v>
      </c>
      <c r="N81" s="169">
        <v>40</v>
      </c>
      <c r="O81" s="177">
        <v>4</v>
      </c>
      <c r="P81" s="171">
        <v>5</v>
      </c>
      <c r="Q81" s="172">
        <v>3</v>
      </c>
      <c r="R81" s="173">
        <v>2</v>
      </c>
      <c r="S81" s="174">
        <v>6</v>
      </c>
      <c r="T81" s="175">
        <v>5</v>
      </c>
      <c r="U81" s="176">
        <v>30</v>
      </c>
      <c r="V81" s="157">
        <v>0</v>
      </c>
      <c r="W81" s="33"/>
      <c r="X81" s="33">
        <v>-32</v>
      </c>
      <c r="Y81" s="119" t="s">
        <v>329</v>
      </c>
      <c r="Z81" s="2" t="s">
        <v>327</v>
      </c>
      <c r="AA81" s="178" t="s">
        <v>311</v>
      </c>
      <c r="AB81" s="33">
        <f t="shared" si="47"/>
        <v>300</v>
      </c>
      <c r="AC81" s="33"/>
      <c r="AD81" s="99">
        <f t="shared" si="45"/>
        <v>300.375</v>
      </c>
      <c r="AE81" s="56">
        <f t="shared" si="34"/>
        <v>218.5060975609756</v>
      </c>
      <c r="AF81" s="56">
        <f t="shared" si="42"/>
        <v>300</v>
      </c>
      <c r="AG81" s="56">
        <f t="shared" si="43"/>
        <v>422.24085365853659</v>
      </c>
      <c r="AH81" s="56">
        <f t="shared" si="44"/>
        <v>564.23780487804879</v>
      </c>
      <c r="AI81" s="56"/>
      <c r="AJ81" s="56">
        <f t="shared" si="37"/>
        <v>81.493902439024396</v>
      </c>
      <c r="AK81" s="47">
        <f t="shared" si="38"/>
        <v>101.25</v>
      </c>
      <c r="AL81" s="56">
        <f t="shared" si="39"/>
        <v>122.24085365853658</v>
      </c>
      <c r="AM81" s="56">
        <f t="shared" si="40"/>
        <v>141.99695121951217</v>
      </c>
      <c r="AN81" s="48">
        <f t="shared" si="41"/>
        <v>123.47560975609755</v>
      </c>
    </row>
    <row r="82" spans="1:40" x14ac:dyDescent="0.35">
      <c r="A82" s="21" t="str">
        <f ca="1">crewedtanks[[#This Row],[Column1]]&amp;"_"&amp;OFFSET(crewedtanks[[#This Row],[Column3]],0,setup!C$9)&amp;""</f>
        <v>Achilles_350</v>
      </c>
      <c r="B82" s="42" t="str">
        <f t="shared" si="46"/>
        <v>Achilles</v>
      </c>
      <c r="C82" s="41"/>
      <c r="D82" s="96">
        <f t="shared" si="31"/>
        <v>228</v>
      </c>
      <c r="E82" s="96">
        <f t="shared" ref="E82:E92" si="48">AF82</f>
        <v>350</v>
      </c>
      <c r="F82" s="96">
        <f t="shared" si="28"/>
        <v>533</v>
      </c>
      <c r="G82" s="96">
        <f t="shared" si="32"/>
        <v>745</v>
      </c>
      <c r="I82" s="59"/>
      <c r="K82" s="159" t="s">
        <v>284</v>
      </c>
      <c r="L82" s="156">
        <v>11</v>
      </c>
      <c r="M82" s="156">
        <v>1</v>
      </c>
      <c r="N82" s="169">
        <v>44</v>
      </c>
      <c r="O82" s="177">
        <v>5</v>
      </c>
      <c r="P82" s="171">
        <v>5</v>
      </c>
      <c r="Q82" s="172">
        <v>3</v>
      </c>
      <c r="R82" s="173">
        <v>2</v>
      </c>
      <c r="S82" s="174">
        <v>6</v>
      </c>
      <c r="T82" s="175">
        <v>5</v>
      </c>
      <c r="U82" s="176">
        <v>30</v>
      </c>
      <c r="V82" s="157">
        <v>0</v>
      </c>
      <c r="W82" s="33"/>
      <c r="X82" s="33">
        <v>-32</v>
      </c>
      <c r="Y82" s="119" t="s">
        <v>330</v>
      </c>
      <c r="Z82" s="2" t="s">
        <v>328</v>
      </c>
      <c r="AA82" s="2" t="s">
        <v>314</v>
      </c>
      <c r="AB82" s="33">
        <f t="shared" si="47"/>
        <v>350</v>
      </c>
      <c r="AC82" s="33"/>
      <c r="AD82" s="99">
        <f t="shared" si="45"/>
        <v>350.375</v>
      </c>
      <c r="AE82" s="56">
        <f t="shared" si="34"/>
        <v>228.26219512195121</v>
      </c>
      <c r="AF82" s="56">
        <f t="shared" si="42"/>
        <v>350</v>
      </c>
      <c r="AG82" s="56">
        <f t="shared" si="43"/>
        <v>532.60670731707319</v>
      </c>
      <c r="AH82" s="56">
        <f t="shared" si="44"/>
        <v>744.72560975609758</v>
      </c>
      <c r="AI82" s="56"/>
      <c r="AJ82" s="56">
        <f t="shared" si="37"/>
        <v>121.73780487804878</v>
      </c>
      <c r="AK82" s="47">
        <f t="shared" si="38"/>
        <v>151.25</v>
      </c>
      <c r="AL82" s="56">
        <f t="shared" si="39"/>
        <v>182.60670731707316</v>
      </c>
      <c r="AM82" s="56">
        <f t="shared" si="40"/>
        <v>212.11890243902437</v>
      </c>
      <c r="AN82" s="48">
        <f t="shared" si="41"/>
        <v>184.45121951219511</v>
      </c>
    </row>
    <row r="83" spans="1:40" x14ac:dyDescent="0.35">
      <c r="A83" s="21" t="str">
        <f ca="1">crewedtanks[[#This Row],[Column1]]&amp;"_"&amp;OFFSET(crewedtanks[[#This Row],[Column3]],0,setup!C$9)&amp;""</f>
        <v>StuG III F_380</v>
      </c>
      <c r="B83" s="42" t="str">
        <f t="shared" si="46"/>
        <v>StuG III F</v>
      </c>
      <c r="C83" s="38"/>
      <c r="D83" s="96">
        <f t="shared" si="31"/>
        <v>316</v>
      </c>
      <c r="E83" s="96">
        <f t="shared" si="48"/>
        <v>380</v>
      </c>
      <c r="F83" s="96">
        <f t="shared" si="28"/>
        <v>477</v>
      </c>
      <c r="G83" s="96">
        <f t="shared" si="32"/>
        <v>589</v>
      </c>
      <c r="I83" s="59"/>
      <c r="K83" s="154" t="s">
        <v>285</v>
      </c>
      <c r="L83" s="156">
        <v>8</v>
      </c>
      <c r="M83" s="156">
        <v>1</v>
      </c>
      <c r="N83" s="169">
        <v>38</v>
      </c>
      <c r="O83" s="170">
        <v>4</v>
      </c>
      <c r="P83" s="171">
        <v>7</v>
      </c>
      <c r="Q83" s="172">
        <v>3</v>
      </c>
      <c r="R83" s="173">
        <v>3</v>
      </c>
      <c r="S83" s="174">
        <v>6</v>
      </c>
      <c r="T83" s="175">
        <v>5</v>
      </c>
      <c r="U83" s="176">
        <v>30</v>
      </c>
      <c r="V83" s="157">
        <v>0</v>
      </c>
      <c r="W83" s="33">
        <v>-30</v>
      </c>
      <c r="X83" s="33"/>
      <c r="Y83" s="179" t="s">
        <v>330</v>
      </c>
      <c r="Z83" s="2" t="s">
        <v>173</v>
      </c>
      <c r="AA83" s="2" t="s">
        <v>315</v>
      </c>
      <c r="AB83" s="33">
        <f t="shared" si="47"/>
        <v>380</v>
      </c>
      <c r="AC83" s="33"/>
      <c r="AD83" s="99">
        <f t="shared" si="45"/>
        <v>381.50000000000006</v>
      </c>
      <c r="AE83" s="56">
        <f t="shared" si="34"/>
        <v>315.60975609756099</v>
      </c>
      <c r="AF83" s="56">
        <f>AB83</f>
        <v>380</v>
      </c>
      <c r="AG83" s="56">
        <f t="shared" si="43"/>
        <v>476.58536585365852</v>
      </c>
      <c r="AH83" s="56">
        <f t="shared" si="44"/>
        <v>588.78048780487802</v>
      </c>
      <c r="AI83" s="56"/>
      <c r="AJ83" s="56">
        <f t="shared" si="37"/>
        <v>64.390243902439025</v>
      </c>
      <c r="AK83" s="47">
        <f t="shared" si="38"/>
        <v>80</v>
      </c>
      <c r="AL83" s="56">
        <f t="shared" si="39"/>
        <v>96.58536585365853</v>
      </c>
      <c r="AM83" s="56">
        <f t="shared" si="40"/>
        <v>112.19512195121951</v>
      </c>
      <c r="AN83" s="48">
        <f t="shared" si="41"/>
        <v>97.560975609756099</v>
      </c>
    </row>
    <row r="84" spans="1:40" x14ac:dyDescent="0.35">
      <c r="A84" s="21" t="str">
        <f ca="1">crewedtanks[[#This Row],[Column1]]&amp;"_"&amp;OFFSET(crewedtanks[[#This Row],[Column3]],0,setup!C$9)&amp;""</f>
        <v>Matilda III_430</v>
      </c>
      <c r="B84" s="42" t="str">
        <f t="shared" si="46"/>
        <v>Matilda III</v>
      </c>
      <c r="C84" s="41"/>
      <c r="D84" s="96">
        <f t="shared" si="31"/>
        <v>405</v>
      </c>
      <c r="E84" s="96">
        <f t="shared" si="48"/>
        <v>430</v>
      </c>
      <c r="F84" s="96">
        <f t="shared" si="28"/>
        <v>468</v>
      </c>
      <c r="G84" s="96">
        <f t="shared" si="32"/>
        <v>512</v>
      </c>
      <c r="I84" s="59"/>
      <c r="K84" s="154" t="s">
        <v>286</v>
      </c>
      <c r="L84" s="156">
        <v>5</v>
      </c>
      <c r="M84" s="156">
        <v>1</v>
      </c>
      <c r="N84" s="169">
        <v>32</v>
      </c>
      <c r="O84" s="170">
        <v>3</v>
      </c>
      <c r="P84" s="171">
        <v>7</v>
      </c>
      <c r="Q84" s="172">
        <v>5</v>
      </c>
      <c r="R84" s="173">
        <v>4</v>
      </c>
      <c r="S84" s="174">
        <v>5</v>
      </c>
      <c r="T84" s="175">
        <v>5</v>
      </c>
      <c r="U84" s="176">
        <v>30</v>
      </c>
      <c r="V84" s="157">
        <v>0</v>
      </c>
      <c r="W84" s="33"/>
      <c r="X84" s="33"/>
      <c r="Y84" s="168" t="s">
        <v>330</v>
      </c>
      <c r="Z84" s="158" t="s">
        <v>171</v>
      </c>
      <c r="AA84" s="158" t="s">
        <v>303</v>
      </c>
      <c r="AB84" s="33">
        <f>MROUND(AD84,5)</f>
        <v>430</v>
      </c>
      <c r="AC84" s="33"/>
      <c r="AD84" s="99">
        <f>((((P84*P84)*3.1)+((Q84*Q84)*2.6)+((R84*R84)*1.1))+(S84)+(T84*10)+(U84)+(W84)+(L84*L84*M84)+(V84/2)+(X84))*1.25</f>
        <v>430.625</v>
      </c>
      <c r="AE84" s="56">
        <f>AB84-AJ84</f>
        <v>404.84756097560978</v>
      </c>
      <c r="AF84" s="56">
        <f t="shared" si="42"/>
        <v>430</v>
      </c>
      <c r="AG84" s="56">
        <f>AB84+AL84</f>
        <v>467.72865853658539</v>
      </c>
      <c r="AH84" s="56">
        <f>AB84+AL84+AM84</f>
        <v>511.55487804878049</v>
      </c>
      <c r="AI84" s="56"/>
      <c r="AJ84" s="56">
        <f t="shared" si="37"/>
        <v>25.152439024390244</v>
      </c>
      <c r="AK84" s="47">
        <f t="shared" si="38"/>
        <v>31.25</v>
      </c>
      <c r="AL84" s="56">
        <f t="shared" si="39"/>
        <v>37.728658536585364</v>
      </c>
      <c r="AM84" s="56">
        <f t="shared" si="40"/>
        <v>43.826219512195117</v>
      </c>
      <c r="AN84" s="48">
        <f t="shared" si="41"/>
        <v>38.109756097560975</v>
      </c>
    </row>
    <row r="85" spans="1:40" x14ac:dyDescent="0.35">
      <c r="A85" s="21" t="str">
        <f ca="1">crewedtanks[[#This Row],[Column1]]&amp;"_"&amp;OFFSET(crewedtanks[[#This Row],[Column3]],0,setup!C$9)&amp;""</f>
        <v>m36 Jackson_375</v>
      </c>
      <c r="B85" s="42" t="str">
        <f t="shared" si="46"/>
        <v>m36 Jackson</v>
      </c>
      <c r="C85" s="38"/>
      <c r="D85" s="96">
        <f t="shared" si="31"/>
        <v>253</v>
      </c>
      <c r="E85" s="96">
        <f t="shared" si="48"/>
        <v>375</v>
      </c>
      <c r="F85" s="96">
        <f t="shared" si="28"/>
        <v>558</v>
      </c>
      <c r="G85" s="96">
        <f t="shared" si="32"/>
        <v>770</v>
      </c>
      <c r="I85" s="59"/>
      <c r="K85" s="159" t="s">
        <v>287</v>
      </c>
      <c r="L85" s="156">
        <v>11</v>
      </c>
      <c r="M85" s="156">
        <v>1</v>
      </c>
      <c r="N85" s="169">
        <v>44</v>
      </c>
      <c r="O85" s="177">
        <v>5</v>
      </c>
      <c r="P85" s="171">
        <v>5</v>
      </c>
      <c r="Q85" s="172">
        <v>4</v>
      </c>
      <c r="R85" s="173">
        <v>2</v>
      </c>
      <c r="S85" s="174">
        <v>6</v>
      </c>
      <c r="T85" s="175">
        <v>5</v>
      </c>
      <c r="U85" s="176">
        <v>30</v>
      </c>
      <c r="V85" s="157">
        <v>0</v>
      </c>
      <c r="W85" s="33"/>
      <c r="X85" s="33">
        <v>-32</v>
      </c>
      <c r="Y85" s="119" t="s">
        <v>330</v>
      </c>
      <c r="Z85" s="158" t="s">
        <v>327</v>
      </c>
      <c r="AA85" s="178" t="s">
        <v>316</v>
      </c>
      <c r="AB85" s="33">
        <f t="shared" si="47"/>
        <v>375</v>
      </c>
      <c r="AC85" s="33"/>
      <c r="AD85" s="99">
        <f t="shared" si="33"/>
        <v>373.125</v>
      </c>
      <c r="AE85" s="56">
        <f t="shared" si="34"/>
        <v>253.26219512195121</v>
      </c>
      <c r="AF85" s="56">
        <f t="shared" si="42"/>
        <v>375</v>
      </c>
      <c r="AG85" s="56">
        <f t="shared" si="43"/>
        <v>557.60670731707319</v>
      </c>
      <c r="AH85" s="56">
        <f t="shared" si="44"/>
        <v>769.72560975609758</v>
      </c>
      <c r="AI85" s="56"/>
      <c r="AJ85" s="56">
        <f t="shared" si="37"/>
        <v>121.73780487804878</v>
      </c>
      <c r="AK85" s="47">
        <f t="shared" si="38"/>
        <v>151.25</v>
      </c>
      <c r="AL85" s="56">
        <f t="shared" si="39"/>
        <v>182.60670731707316</v>
      </c>
      <c r="AM85" s="56">
        <f t="shared" si="40"/>
        <v>212.11890243902437</v>
      </c>
      <c r="AN85" s="48">
        <f t="shared" si="41"/>
        <v>184.45121951219511</v>
      </c>
    </row>
    <row r="86" spans="1:40" x14ac:dyDescent="0.35">
      <c r="A86" s="21" t="str">
        <f ca="1">crewedtanks[[#This Row],[Column1]]&amp;"_"&amp;OFFSET(crewedtanks[[#This Row],[Column3]],0,setup!C$9)&amp;""</f>
        <v>Cromwell_355</v>
      </c>
      <c r="B86" s="42" t="str">
        <f t="shared" si="46"/>
        <v>Cromwell</v>
      </c>
      <c r="C86" s="41"/>
      <c r="D86" s="96">
        <f t="shared" si="31"/>
        <v>319</v>
      </c>
      <c r="E86" s="96">
        <f t="shared" si="48"/>
        <v>355</v>
      </c>
      <c r="F86" s="96">
        <f t="shared" si="28"/>
        <v>409</v>
      </c>
      <c r="G86" s="96">
        <f t="shared" si="32"/>
        <v>472</v>
      </c>
      <c r="I86" s="59"/>
      <c r="K86" s="154" t="s">
        <v>288</v>
      </c>
      <c r="L86" s="156">
        <v>6</v>
      </c>
      <c r="M86" s="156">
        <v>1</v>
      </c>
      <c r="N86" s="169">
        <v>36</v>
      </c>
      <c r="O86" s="170">
        <v>3</v>
      </c>
      <c r="P86" s="171">
        <v>6</v>
      </c>
      <c r="Q86" s="172">
        <v>4</v>
      </c>
      <c r="R86" s="173">
        <v>3</v>
      </c>
      <c r="S86" s="174">
        <v>6</v>
      </c>
      <c r="T86" s="175">
        <v>5</v>
      </c>
      <c r="U86" s="176">
        <v>30</v>
      </c>
      <c r="V86" s="157">
        <v>0</v>
      </c>
      <c r="W86" s="33"/>
      <c r="X86" s="33"/>
      <c r="Y86" s="168" t="s">
        <v>330</v>
      </c>
      <c r="Z86" s="2" t="s">
        <v>171</v>
      </c>
      <c r="AA86" s="2" t="s">
        <v>304</v>
      </c>
      <c r="AB86" s="33">
        <f t="shared" si="47"/>
        <v>355</v>
      </c>
      <c r="AC86" s="33"/>
      <c r="AD86" s="99">
        <f>((((P86*P86)*3.1)+((Q86*Q86)*2.6)+((R86*R86)*1.1))+(S86)+(T86*10)+(U86)+(W86)+(L86*L86*M86)+(V86/2)+(X86))*1.25</f>
        <v>356.375</v>
      </c>
      <c r="AE86" s="56">
        <f t="shared" si="34"/>
        <v>318.78048780487802</v>
      </c>
      <c r="AF86" s="56">
        <f t="shared" si="42"/>
        <v>355</v>
      </c>
      <c r="AG86" s="56">
        <f t="shared" si="43"/>
        <v>409.32926829268291</v>
      </c>
      <c r="AH86" s="56">
        <f t="shared" si="44"/>
        <v>472.4390243902439</v>
      </c>
      <c r="AI86" s="56"/>
      <c r="AJ86" s="56">
        <f t="shared" si="37"/>
        <v>36.219512195121951</v>
      </c>
      <c r="AK86" s="47">
        <f t="shared" si="38"/>
        <v>45</v>
      </c>
      <c r="AL86" s="56">
        <f t="shared" si="39"/>
        <v>54.329268292682926</v>
      </c>
      <c r="AM86" s="56">
        <f t="shared" si="40"/>
        <v>63.109756097560968</v>
      </c>
      <c r="AN86" s="48">
        <f t="shared" si="41"/>
        <v>54.878048780487802</v>
      </c>
    </row>
    <row r="87" spans="1:40" x14ac:dyDescent="0.35">
      <c r="A87" s="21" t="str">
        <f ca="1">crewedtanks[[#This Row],[Column1]]&amp;"_"&amp;OFFSET(crewedtanks[[#This Row],[Column3]],0,setup!C$9)&amp;""</f>
        <v>M4A2 Sherman_375</v>
      </c>
      <c r="B87" s="42" t="str">
        <f t="shared" si="46"/>
        <v>M4A2 Sherman</v>
      </c>
      <c r="C87" s="38"/>
      <c r="D87" s="96">
        <f t="shared" si="31"/>
        <v>326</v>
      </c>
      <c r="E87" s="96">
        <f t="shared" si="48"/>
        <v>375</v>
      </c>
      <c r="F87" s="96">
        <f t="shared" si="28"/>
        <v>449</v>
      </c>
      <c r="G87" s="96">
        <f t="shared" si="32"/>
        <v>535</v>
      </c>
      <c r="I87" s="59"/>
      <c r="K87" s="154" t="s">
        <v>289</v>
      </c>
      <c r="L87" s="156">
        <v>7</v>
      </c>
      <c r="M87" s="156">
        <v>1</v>
      </c>
      <c r="N87" s="169">
        <v>36</v>
      </c>
      <c r="O87" s="170">
        <v>3</v>
      </c>
      <c r="P87" s="171">
        <v>6</v>
      </c>
      <c r="Q87" s="172">
        <v>4</v>
      </c>
      <c r="R87" s="173">
        <v>3</v>
      </c>
      <c r="S87" s="174">
        <v>6</v>
      </c>
      <c r="T87" s="175">
        <v>5</v>
      </c>
      <c r="U87" s="176">
        <v>30</v>
      </c>
      <c r="V87" s="157">
        <v>0</v>
      </c>
      <c r="W87" s="33"/>
      <c r="X87" s="33"/>
      <c r="Y87" s="168" t="s">
        <v>330</v>
      </c>
      <c r="Z87" s="2" t="s">
        <v>174</v>
      </c>
      <c r="AA87" s="2" t="s">
        <v>312</v>
      </c>
      <c r="AB87" s="33">
        <f t="shared" si="47"/>
        <v>375</v>
      </c>
      <c r="AC87" s="33"/>
      <c r="AD87" s="99">
        <f>((((P87*P87)*3.1)+((Q87*Q87)*2.6)+((R87*R87)*1.1))+(S87)+(T87*10)+(U87)+(W87)+(L87*L87*M87)+(V87/2)+(X87))*1.25</f>
        <v>372.625</v>
      </c>
      <c r="AE87" s="56">
        <f t="shared" si="34"/>
        <v>325.70121951219511</v>
      </c>
      <c r="AF87" s="56">
        <f t="shared" si="42"/>
        <v>375</v>
      </c>
      <c r="AG87" s="56">
        <f t="shared" si="43"/>
        <v>448.94817073170731</v>
      </c>
      <c r="AH87" s="56">
        <f t="shared" si="44"/>
        <v>534.84756097560978</v>
      </c>
      <c r="AI87" s="56"/>
      <c r="AJ87" s="56">
        <f t="shared" si="37"/>
        <v>49.298780487804876</v>
      </c>
      <c r="AK87" s="47">
        <f t="shared" si="38"/>
        <v>61.25</v>
      </c>
      <c r="AL87" s="56">
        <f t="shared" si="39"/>
        <v>73.948170731707307</v>
      </c>
      <c r="AM87" s="56">
        <f t="shared" si="40"/>
        <v>85.899390243902431</v>
      </c>
      <c r="AN87" s="48">
        <f t="shared" si="41"/>
        <v>74.695121951219505</v>
      </c>
    </row>
    <row r="88" spans="1:40" x14ac:dyDescent="0.35">
      <c r="A88" s="21" t="str">
        <f ca="1">crewedtanks[[#This Row],[Column1]]&amp;"_"&amp;OFFSET(crewedtanks[[#This Row],[Column3]],0,setup!C$9)&amp;""</f>
        <v>T34-85_305</v>
      </c>
      <c r="B88" s="42" t="str">
        <f t="shared" si="46"/>
        <v>T34-85</v>
      </c>
      <c r="C88" s="41"/>
      <c r="D88" s="96">
        <f t="shared" si="31"/>
        <v>241</v>
      </c>
      <c r="E88" s="96">
        <f t="shared" si="48"/>
        <v>305</v>
      </c>
      <c r="F88" s="96">
        <f t="shared" si="28"/>
        <v>402</v>
      </c>
      <c r="G88" s="96">
        <f t="shared" si="32"/>
        <v>514</v>
      </c>
      <c r="I88" s="59"/>
      <c r="K88" s="153" t="s">
        <v>290</v>
      </c>
      <c r="L88" s="156">
        <v>8</v>
      </c>
      <c r="M88" s="156">
        <v>1</v>
      </c>
      <c r="N88" s="169">
        <v>38</v>
      </c>
      <c r="O88" s="170">
        <v>4</v>
      </c>
      <c r="P88" s="171">
        <v>4</v>
      </c>
      <c r="Q88" s="172">
        <v>4</v>
      </c>
      <c r="R88" s="173">
        <v>2</v>
      </c>
      <c r="S88" s="174">
        <v>6</v>
      </c>
      <c r="T88" s="175">
        <v>5</v>
      </c>
      <c r="U88" s="176">
        <v>30</v>
      </c>
      <c r="V88" s="157">
        <v>0</v>
      </c>
      <c r="W88" s="33"/>
      <c r="X88" s="33"/>
      <c r="Y88" s="168" t="s">
        <v>330</v>
      </c>
      <c r="Z88" s="158" t="s">
        <v>326</v>
      </c>
      <c r="AA88" s="158" t="s">
        <v>317</v>
      </c>
      <c r="AB88" s="33">
        <f t="shared" si="47"/>
        <v>305</v>
      </c>
      <c r="AC88" s="33"/>
      <c r="AD88" s="99">
        <f t="shared" si="33"/>
        <v>307</v>
      </c>
      <c r="AE88" s="56">
        <f t="shared" si="34"/>
        <v>240.60975609756099</v>
      </c>
      <c r="AF88" s="56">
        <f t="shared" si="42"/>
        <v>305</v>
      </c>
      <c r="AG88" s="56">
        <f t="shared" si="43"/>
        <v>401.58536585365852</v>
      </c>
      <c r="AH88" s="56">
        <f t="shared" si="44"/>
        <v>513.78048780487802</v>
      </c>
      <c r="AI88" s="56"/>
      <c r="AJ88" s="56">
        <f t="shared" si="37"/>
        <v>64.390243902439025</v>
      </c>
      <c r="AK88" s="47">
        <f t="shared" si="38"/>
        <v>80</v>
      </c>
      <c r="AL88" s="56">
        <f t="shared" si="39"/>
        <v>96.58536585365853</v>
      </c>
      <c r="AM88" s="56">
        <f t="shared" si="40"/>
        <v>112.19512195121951</v>
      </c>
      <c r="AN88" s="48">
        <f t="shared" si="41"/>
        <v>97.560975609756099</v>
      </c>
    </row>
    <row r="89" spans="1:40" x14ac:dyDescent="0.35">
      <c r="A89" s="21" t="str">
        <f ca="1">crewedtanks[[#This Row],[Column1]]&amp;"_"&amp;OFFSET(crewedtanks[[#This Row],[Column3]],0,setup!C$9)&amp;""</f>
        <v>Panzer IV F2_470</v>
      </c>
      <c r="B89" s="42" t="str">
        <f t="shared" si="46"/>
        <v>Panzer IV F2</v>
      </c>
      <c r="C89" s="38"/>
      <c r="D89" s="96">
        <f t="shared" si="31"/>
        <v>406</v>
      </c>
      <c r="E89" s="96">
        <f t="shared" si="48"/>
        <v>470</v>
      </c>
      <c r="F89" s="96">
        <f t="shared" si="28"/>
        <v>567</v>
      </c>
      <c r="G89" s="96">
        <f t="shared" si="32"/>
        <v>679</v>
      </c>
      <c r="I89" s="59"/>
      <c r="K89" s="154" t="s">
        <v>291</v>
      </c>
      <c r="L89" s="156">
        <v>8</v>
      </c>
      <c r="M89" s="156">
        <v>1</v>
      </c>
      <c r="N89" s="169">
        <v>38</v>
      </c>
      <c r="O89" s="170">
        <v>4</v>
      </c>
      <c r="P89" s="171">
        <v>8</v>
      </c>
      <c r="Q89" s="172">
        <v>3</v>
      </c>
      <c r="R89" s="173">
        <v>2</v>
      </c>
      <c r="S89" s="174">
        <v>5</v>
      </c>
      <c r="T89" s="175">
        <v>5</v>
      </c>
      <c r="U89" s="176">
        <v>30</v>
      </c>
      <c r="V89" s="157">
        <v>0</v>
      </c>
      <c r="W89" s="33"/>
      <c r="X89" s="33"/>
      <c r="Y89" s="168" t="s">
        <v>330</v>
      </c>
      <c r="Z89" s="2" t="s">
        <v>173</v>
      </c>
      <c r="AA89" s="2" t="s">
        <v>315</v>
      </c>
      <c r="AB89" s="33">
        <f t="shared" si="47"/>
        <v>470</v>
      </c>
      <c r="AC89" s="33"/>
      <c r="AD89" s="99">
        <f t="shared" si="33"/>
        <v>469.00000000000006</v>
      </c>
      <c r="AE89" s="56">
        <f t="shared" si="34"/>
        <v>405.60975609756099</v>
      </c>
      <c r="AF89" s="56">
        <f t="shared" si="42"/>
        <v>470</v>
      </c>
      <c r="AG89" s="56">
        <f t="shared" si="43"/>
        <v>566.58536585365857</v>
      </c>
      <c r="AH89" s="56">
        <f t="shared" si="44"/>
        <v>678.78048780487802</v>
      </c>
      <c r="AI89" s="56"/>
      <c r="AJ89" s="56">
        <f t="shared" si="37"/>
        <v>64.390243902439025</v>
      </c>
      <c r="AK89" s="47">
        <f t="shared" si="38"/>
        <v>80</v>
      </c>
      <c r="AL89" s="56">
        <f t="shared" si="39"/>
        <v>96.58536585365853</v>
      </c>
      <c r="AM89" s="56">
        <f t="shared" si="40"/>
        <v>112.19512195121951</v>
      </c>
      <c r="AN89" s="48">
        <f t="shared" si="41"/>
        <v>97.560975609756099</v>
      </c>
    </row>
    <row r="90" spans="1:40" x14ac:dyDescent="0.35">
      <c r="A90" s="21" t="str">
        <f ca="1">crewedtanks[[#This Row],[Column1]]&amp;"_"&amp;OFFSET(crewedtanks[[#This Row],[Column3]],0,setup!C$9)&amp;""</f>
        <v>T34_275</v>
      </c>
      <c r="B90" s="42" t="str">
        <f t="shared" si="46"/>
        <v>T34</v>
      </c>
      <c r="C90" s="41"/>
      <c r="D90" s="96">
        <f t="shared" si="31"/>
        <v>239</v>
      </c>
      <c r="E90" s="96">
        <f t="shared" si="48"/>
        <v>275</v>
      </c>
      <c r="F90" s="96">
        <f t="shared" si="28"/>
        <v>329</v>
      </c>
      <c r="G90" s="96">
        <f t="shared" si="32"/>
        <v>392</v>
      </c>
      <c r="I90" s="59"/>
      <c r="K90" s="153" t="s">
        <v>292</v>
      </c>
      <c r="L90" s="156">
        <v>6</v>
      </c>
      <c r="M90" s="156">
        <v>1</v>
      </c>
      <c r="N90" s="169">
        <v>34</v>
      </c>
      <c r="O90" s="170">
        <v>3</v>
      </c>
      <c r="P90" s="171">
        <v>4</v>
      </c>
      <c r="Q90" s="172">
        <v>4</v>
      </c>
      <c r="R90" s="173">
        <v>2</v>
      </c>
      <c r="S90" s="174">
        <v>7</v>
      </c>
      <c r="T90" s="175">
        <v>5</v>
      </c>
      <c r="U90" s="176">
        <v>30</v>
      </c>
      <c r="V90" s="157">
        <v>0</v>
      </c>
      <c r="W90" s="33"/>
      <c r="X90" s="33"/>
      <c r="Y90" s="168" t="s">
        <v>330</v>
      </c>
      <c r="Z90" s="2" t="s">
        <v>326</v>
      </c>
      <c r="AA90" s="2" t="s">
        <v>318</v>
      </c>
      <c r="AB90" s="33">
        <f t="shared" si="47"/>
        <v>275</v>
      </c>
      <c r="AC90" s="33"/>
      <c r="AD90" s="99">
        <f t="shared" si="33"/>
        <v>273.25</v>
      </c>
      <c r="AE90" s="56">
        <f t="shared" si="34"/>
        <v>238.78048780487805</v>
      </c>
      <c r="AF90" s="56">
        <f t="shared" si="42"/>
        <v>275</v>
      </c>
      <c r="AG90" s="56">
        <f t="shared" si="43"/>
        <v>329.32926829268291</v>
      </c>
      <c r="AH90" s="56">
        <f t="shared" si="44"/>
        <v>392.4390243902439</v>
      </c>
      <c r="AI90" s="56"/>
      <c r="AJ90" s="56">
        <f t="shared" si="37"/>
        <v>36.219512195121951</v>
      </c>
      <c r="AK90" s="47">
        <f t="shared" si="38"/>
        <v>45</v>
      </c>
      <c r="AL90" s="56">
        <f t="shared" si="39"/>
        <v>54.329268292682926</v>
      </c>
      <c r="AM90" s="56">
        <f t="shared" si="40"/>
        <v>63.109756097560968</v>
      </c>
      <c r="AN90" s="48">
        <f t="shared" si="41"/>
        <v>54.878048780487802</v>
      </c>
    </row>
    <row r="91" spans="1:40" x14ac:dyDescent="0.35">
      <c r="A91" s="21" t="str">
        <f ca="1">crewedtanks[[#This Row],[Column1]]&amp;"_"&amp;OFFSET(crewedtanks[[#This Row],[Column3]],0,setup!C$9)&amp;""</f>
        <v>Sherman Jumbo_595</v>
      </c>
      <c r="B91" s="42" t="str">
        <f t="shared" si="46"/>
        <v>Sherman Jumbo</v>
      </c>
      <c r="C91" s="39"/>
      <c r="D91" s="96">
        <f t="shared" si="31"/>
        <v>514</v>
      </c>
      <c r="E91" s="96">
        <f t="shared" si="48"/>
        <v>595</v>
      </c>
      <c r="F91" s="96">
        <f t="shared" si="28"/>
        <v>717</v>
      </c>
      <c r="G91" s="96">
        <f t="shared" si="32"/>
        <v>859</v>
      </c>
      <c r="I91" s="59"/>
      <c r="K91" s="153" t="s">
        <v>293</v>
      </c>
      <c r="L91" s="156">
        <v>9</v>
      </c>
      <c r="M91" s="156">
        <v>1</v>
      </c>
      <c r="N91" s="169">
        <v>40</v>
      </c>
      <c r="O91" s="170">
        <v>4</v>
      </c>
      <c r="P91" s="171">
        <v>8</v>
      </c>
      <c r="Q91" s="172">
        <v>6</v>
      </c>
      <c r="R91" s="173">
        <v>3</v>
      </c>
      <c r="S91" s="174">
        <v>5</v>
      </c>
      <c r="T91" s="175">
        <v>6</v>
      </c>
      <c r="U91" s="176">
        <v>30</v>
      </c>
      <c r="V91" s="157">
        <v>0</v>
      </c>
      <c r="W91" s="33"/>
      <c r="X91" s="33"/>
      <c r="Y91" s="168" t="s">
        <v>331</v>
      </c>
      <c r="Z91" s="2" t="s">
        <v>167</v>
      </c>
      <c r="AA91" s="2" t="s">
        <v>319</v>
      </c>
      <c r="AB91" s="33">
        <f t="shared" si="47"/>
        <v>595</v>
      </c>
      <c r="AC91" s="33"/>
      <c r="AD91" s="99">
        <f t="shared" si="33"/>
        <v>597.375</v>
      </c>
      <c r="AE91" s="56">
        <f t="shared" si="34"/>
        <v>513.5060975609756</v>
      </c>
      <c r="AF91" s="56">
        <f t="shared" si="42"/>
        <v>595</v>
      </c>
      <c r="AG91" s="56">
        <f t="shared" si="43"/>
        <v>717.24085365853659</v>
      </c>
      <c r="AH91" s="56">
        <f t="shared" si="44"/>
        <v>859.23780487804879</v>
      </c>
      <c r="AI91" s="99"/>
      <c r="AJ91" s="56">
        <f t="shared" si="37"/>
        <v>81.493902439024396</v>
      </c>
      <c r="AK91" s="47">
        <f t="shared" si="38"/>
        <v>101.25</v>
      </c>
      <c r="AL91" s="56">
        <f t="shared" si="39"/>
        <v>122.24085365853658</v>
      </c>
      <c r="AM91" s="56">
        <f t="shared" si="40"/>
        <v>141.99695121951217</v>
      </c>
      <c r="AN91" s="48">
        <f t="shared" si="41"/>
        <v>123.47560975609755</v>
      </c>
    </row>
    <row r="92" spans="1:40" x14ac:dyDescent="0.35">
      <c r="A92" s="21" t="str">
        <f ca="1">crewedtanks[[#This Row],[Column1]]&amp;"_"&amp;OFFSET(crewedtanks[[#This Row],[Column3]],0,setup!C$9)&amp;""</f>
        <v>M4 Firefly_475</v>
      </c>
      <c r="B92" s="42" t="str">
        <f t="shared" si="46"/>
        <v>M4 Firefly</v>
      </c>
      <c r="C92" s="13"/>
      <c r="D92" s="96">
        <f t="shared" si="31"/>
        <v>353</v>
      </c>
      <c r="E92" s="96">
        <f t="shared" si="48"/>
        <v>475</v>
      </c>
      <c r="F92" s="96">
        <f t="shared" si="28"/>
        <v>658</v>
      </c>
      <c r="G92" s="96">
        <f t="shared" si="32"/>
        <v>870</v>
      </c>
      <c r="I92" s="59"/>
      <c r="J92" s="59"/>
      <c r="K92" s="153" t="s">
        <v>294</v>
      </c>
      <c r="L92" s="156">
        <v>11</v>
      </c>
      <c r="M92" s="156">
        <v>1</v>
      </c>
      <c r="N92" s="169">
        <v>44</v>
      </c>
      <c r="O92" s="170">
        <v>5</v>
      </c>
      <c r="P92" s="171">
        <v>6</v>
      </c>
      <c r="Q92" s="172">
        <v>4</v>
      </c>
      <c r="R92" s="173">
        <v>3</v>
      </c>
      <c r="S92" s="174">
        <v>6</v>
      </c>
      <c r="T92" s="175">
        <v>6</v>
      </c>
      <c r="U92" s="176">
        <v>30</v>
      </c>
      <c r="V92" s="157">
        <v>0</v>
      </c>
      <c r="W92" s="33"/>
      <c r="X92" s="33"/>
      <c r="Y92" s="168" t="s">
        <v>331</v>
      </c>
      <c r="Z92" s="2" t="s">
        <v>171</v>
      </c>
      <c r="AA92" s="2" t="s">
        <v>314</v>
      </c>
      <c r="AB92" s="33">
        <f t="shared" si="47"/>
        <v>475</v>
      </c>
      <c r="AC92" s="33"/>
      <c r="AD92" s="99">
        <f t="shared" si="33"/>
        <v>475.125</v>
      </c>
      <c r="AE92" s="56">
        <f t="shared" si="34"/>
        <v>353.26219512195121</v>
      </c>
      <c r="AF92" s="56">
        <f t="shared" si="42"/>
        <v>475</v>
      </c>
      <c r="AG92" s="56">
        <f t="shared" si="43"/>
        <v>657.60670731707319</v>
      </c>
      <c r="AH92" s="56">
        <f t="shared" si="44"/>
        <v>869.72560975609758</v>
      </c>
      <c r="AI92" s="13"/>
      <c r="AJ92" s="56">
        <f t="shared" si="37"/>
        <v>121.73780487804878</v>
      </c>
      <c r="AK92" s="47">
        <f t="shared" si="38"/>
        <v>151.25</v>
      </c>
      <c r="AL92" s="56">
        <f t="shared" si="39"/>
        <v>182.60670731707316</v>
      </c>
      <c r="AM92" s="56">
        <f t="shared" si="40"/>
        <v>212.11890243902437</v>
      </c>
      <c r="AN92" s="48">
        <f t="shared" si="41"/>
        <v>184.45121951219511</v>
      </c>
    </row>
    <row r="93" spans="1:40" x14ac:dyDescent="0.35">
      <c r="A93" s="21" t="str">
        <f ca="1">crewedtanks[[#This Row],[Column1]]&amp;"_"&amp;OFFSET(crewedtanks[[#This Row],[Column3]],0,setup!C$9)&amp;""</f>
        <v>Tiger_870</v>
      </c>
      <c r="B93" s="42" t="str">
        <f t="shared" si="46"/>
        <v>Tiger</v>
      </c>
      <c r="C93" s="13"/>
      <c r="D93" s="181">
        <f t="shared" ref="D93:D100" si="49">MROUND(AE93,1)</f>
        <v>769</v>
      </c>
      <c r="E93" s="180">
        <f t="shared" ref="E93:E100" si="50">AF93</f>
        <v>870</v>
      </c>
      <c r="F93" s="181">
        <f t="shared" ref="F93:F100" si="51">MROUND(AG93,1)</f>
        <v>1021</v>
      </c>
      <c r="G93" s="181">
        <f t="shared" ref="G93:G100" si="52">MROUND(AH93,1)</f>
        <v>1196</v>
      </c>
      <c r="I93" s="59"/>
      <c r="J93" s="59"/>
      <c r="K93" s="153" t="s">
        <v>295</v>
      </c>
      <c r="L93" s="156">
        <v>10</v>
      </c>
      <c r="M93" s="156">
        <v>1</v>
      </c>
      <c r="N93" s="169">
        <v>42</v>
      </c>
      <c r="O93" s="170">
        <v>5</v>
      </c>
      <c r="P93" s="171">
        <v>10</v>
      </c>
      <c r="Q93" s="172">
        <v>8</v>
      </c>
      <c r="R93" s="173">
        <v>5</v>
      </c>
      <c r="S93" s="174">
        <v>4</v>
      </c>
      <c r="T93" s="175">
        <v>6</v>
      </c>
      <c r="U93" s="176">
        <v>30</v>
      </c>
      <c r="V93" s="157">
        <v>0</v>
      </c>
      <c r="W93" s="13"/>
      <c r="X93" s="13"/>
      <c r="Y93" s="168" t="s">
        <v>331</v>
      </c>
      <c r="Z93" s="2" t="s">
        <v>168</v>
      </c>
      <c r="AA93" s="2" t="s">
        <v>320</v>
      </c>
      <c r="AB93" s="33">
        <f t="shared" si="47"/>
        <v>870</v>
      </c>
      <c r="AC93" s="33"/>
      <c r="AD93" s="99">
        <f t="shared" si="33"/>
        <v>872.375</v>
      </c>
      <c r="AE93" s="56">
        <f t="shared" si="34"/>
        <v>769.39024390243901</v>
      </c>
      <c r="AF93" s="56">
        <f t="shared" si="42"/>
        <v>870</v>
      </c>
      <c r="AG93" s="56">
        <f t="shared" si="43"/>
        <v>1020.9146341463414</v>
      </c>
      <c r="AH93" s="56">
        <f t="shared" si="44"/>
        <v>1196.219512195122</v>
      </c>
      <c r="AI93" s="13"/>
      <c r="AJ93" s="56">
        <f t="shared" si="37"/>
        <v>100.60975609756098</v>
      </c>
      <c r="AK93" s="47">
        <f t="shared" si="38"/>
        <v>125</v>
      </c>
      <c r="AL93" s="56">
        <f t="shared" si="39"/>
        <v>150.91463414634146</v>
      </c>
      <c r="AM93" s="56">
        <f t="shared" si="40"/>
        <v>175.30487804878047</v>
      </c>
      <c r="AN93" s="48">
        <f t="shared" si="41"/>
        <v>152.4390243902439</v>
      </c>
    </row>
    <row r="94" spans="1:40" x14ac:dyDescent="0.35">
      <c r="A94" s="21" t="str">
        <f ca="1">crewedtanks[[#This Row],[Column1]]&amp;"_"&amp;OFFSET(crewedtanks[[#This Row],[Column3]],0,setup!C$9)&amp;""</f>
        <v>Panther_620</v>
      </c>
      <c r="B94" s="42" t="str">
        <f t="shared" si="46"/>
        <v>Panther</v>
      </c>
      <c r="C94" s="13"/>
      <c r="D94" s="181">
        <f t="shared" si="49"/>
        <v>498</v>
      </c>
      <c r="E94" s="180">
        <f t="shared" si="50"/>
        <v>620</v>
      </c>
      <c r="F94" s="181">
        <f t="shared" si="51"/>
        <v>803</v>
      </c>
      <c r="G94" s="181">
        <f t="shared" si="52"/>
        <v>1015</v>
      </c>
      <c r="I94" s="59"/>
      <c r="J94" s="59"/>
      <c r="K94" s="153" t="s">
        <v>296</v>
      </c>
      <c r="L94" s="156">
        <v>11</v>
      </c>
      <c r="M94" s="156">
        <v>1</v>
      </c>
      <c r="N94" s="169">
        <v>44</v>
      </c>
      <c r="O94" s="170">
        <v>5</v>
      </c>
      <c r="P94" s="171">
        <v>8</v>
      </c>
      <c r="Q94" s="172">
        <v>5</v>
      </c>
      <c r="R94" s="173">
        <v>4</v>
      </c>
      <c r="S94" s="174">
        <v>4</v>
      </c>
      <c r="T94" s="175">
        <v>6</v>
      </c>
      <c r="U94" s="176">
        <v>30</v>
      </c>
      <c r="V94" s="157">
        <v>0</v>
      </c>
      <c r="W94" s="13"/>
      <c r="X94" s="13"/>
      <c r="Y94" s="168" t="s">
        <v>331</v>
      </c>
      <c r="Z94" s="2" t="s">
        <v>168</v>
      </c>
      <c r="AA94" s="2" t="s">
        <v>321</v>
      </c>
      <c r="AB94" s="33">
        <f>MROUND(AD94,5)</f>
        <v>620</v>
      </c>
      <c r="AC94" s="13"/>
      <c r="AD94" s="99">
        <f>((((P94*P94)*3.1)+((Q94*Q94)*2.6)+((R94*R94)*1.1))+(S94)+(T94*10)+(U94)+(W94)+(L94*L94*M94)+(V94/2)+(X94))*1.25</f>
        <v>620</v>
      </c>
      <c r="AE94" s="56">
        <f t="shared" si="34"/>
        <v>498.26219512195121</v>
      </c>
      <c r="AF94" s="56">
        <f>AB94</f>
        <v>620</v>
      </c>
      <c r="AG94" s="56">
        <f>AB94+AL94</f>
        <v>802.60670731707319</v>
      </c>
      <c r="AH94" s="56">
        <f>AB94+AL94+AM94</f>
        <v>1014.7256097560976</v>
      </c>
      <c r="AI94" s="13"/>
      <c r="AJ94" s="56">
        <f t="shared" si="37"/>
        <v>121.73780487804878</v>
      </c>
      <c r="AK94" s="47">
        <f t="shared" si="38"/>
        <v>151.25</v>
      </c>
      <c r="AL94" s="56">
        <f t="shared" si="39"/>
        <v>182.60670731707316</v>
      </c>
      <c r="AM94" s="56">
        <f t="shared" si="40"/>
        <v>212.11890243902437</v>
      </c>
      <c r="AN94" s="48">
        <f t="shared" si="41"/>
        <v>184.45121951219511</v>
      </c>
    </row>
    <row r="95" spans="1:40" x14ac:dyDescent="0.35">
      <c r="A95" s="21" t="str">
        <f ca="1">crewedtanks[[#This Row],[Column1]]&amp;"_"&amp;OFFSET(crewedtanks[[#This Row],[Column3]],0,setup!C$9)&amp;""</f>
        <v>Churchill_690</v>
      </c>
      <c r="B95" s="42" t="str">
        <f t="shared" si="46"/>
        <v>Churchill</v>
      </c>
      <c r="C95" s="13"/>
      <c r="D95" s="181">
        <f t="shared" si="49"/>
        <v>641</v>
      </c>
      <c r="E95" s="180">
        <f t="shared" si="50"/>
        <v>690</v>
      </c>
      <c r="F95" s="181">
        <f t="shared" si="51"/>
        <v>764</v>
      </c>
      <c r="G95" s="181">
        <f t="shared" si="52"/>
        <v>850</v>
      </c>
      <c r="I95" s="59"/>
      <c r="J95" s="59"/>
      <c r="K95" s="154" t="s">
        <v>297</v>
      </c>
      <c r="L95" s="156">
        <v>7</v>
      </c>
      <c r="M95" s="156">
        <v>1</v>
      </c>
      <c r="N95" s="169">
        <v>36</v>
      </c>
      <c r="O95" s="170">
        <v>4</v>
      </c>
      <c r="P95" s="171">
        <v>9</v>
      </c>
      <c r="Q95" s="172">
        <v>7</v>
      </c>
      <c r="R95" s="173">
        <v>5</v>
      </c>
      <c r="S95" s="174">
        <v>5</v>
      </c>
      <c r="T95" s="175">
        <v>6</v>
      </c>
      <c r="U95" s="176">
        <v>30</v>
      </c>
      <c r="V95" s="157">
        <v>0</v>
      </c>
      <c r="W95" s="13"/>
      <c r="X95" s="13"/>
      <c r="Y95" s="168" t="s">
        <v>332</v>
      </c>
      <c r="Z95" s="2" t="s">
        <v>171</v>
      </c>
      <c r="AA95" s="2" t="s">
        <v>304</v>
      </c>
      <c r="AB95" s="33">
        <f t="shared" si="47"/>
        <v>690</v>
      </c>
      <c r="AC95" s="13"/>
      <c r="AD95" s="99">
        <f t="shared" si="33"/>
        <v>687.5</v>
      </c>
      <c r="AE95" s="56">
        <f t="shared" si="34"/>
        <v>640.70121951219517</v>
      </c>
      <c r="AF95" s="56">
        <f t="shared" si="42"/>
        <v>690</v>
      </c>
      <c r="AG95" s="56">
        <f t="shared" si="43"/>
        <v>763.94817073170725</v>
      </c>
      <c r="AH95" s="56">
        <f t="shared" si="44"/>
        <v>849.84756097560967</v>
      </c>
      <c r="AI95" s="13"/>
      <c r="AJ95" s="56">
        <f t="shared" si="37"/>
        <v>49.298780487804876</v>
      </c>
      <c r="AK95" s="47">
        <f t="shared" si="38"/>
        <v>61.25</v>
      </c>
      <c r="AL95" s="56">
        <f t="shared" si="39"/>
        <v>73.948170731707307</v>
      </c>
      <c r="AM95" s="56">
        <f t="shared" si="40"/>
        <v>85.899390243902431</v>
      </c>
      <c r="AN95" s="48">
        <f t="shared" si="41"/>
        <v>74.695121951219505</v>
      </c>
    </row>
    <row r="96" spans="1:40" x14ac:dyDescent="0.35">
      <c r="A96" s="21" t="str">
        <f ca="1">crewedtanks[[#This Row],[Column1]]&amp;"_"&amp;OFFSET(crewedtanks[[#This Row],[Column3]],0,setup!C$9)&amp;""</f>
        <v>M26 Pershing_850</v>
      </c>
      <c r="B96" s="42" t="str">
        <f t="shared" si="46"/>
        <v>M26 Pershing</v>
      </c>
      <c r="C96" s="13"/>
      <c r="D96" s="181">
        <f t="shared" si="49"/>
        <v>728</v>
      </c>
      <c r="E96" s="180">
        <f t="shared" si="50"/>
        <v>850</v>
      </c>
      <c r="F96" s="181">
        <f t="shared" si="51"/>
        <v>1033</v>
      </c>
      <c r="G96" s="181">
        <f t="shared" si="52"/>
        <v>1245</v>
      </c>
      <c r="I96" s="59"/>
      <c r="J96" s="59"/>
      <c r="K96" s="154" t="s">
        <v>298</v>
      </c>
      <c r="L96" s="156">
        <v>11</v>
      </c>
      <c r="M96" s="156">
        <v>1</v>
      </c>
      <c r="N96" s="169">
        <v>44</v>
      </c>
      <c r="O96" s="170">
        <v>5</v>
      </c>
      <c r="P96" s="171">
        <v>10</v>
      </c>
      <c r="Q96" s="172">
        <v>7</v>
      </c>
      <c r="R96" s="173">
        <v>5</v>
      </c>
      <c r="S96" s="174">
        <v>5</v>
      </c>
      <c r="T96" s="175">
        <v>6</v>
      </c>
      <c r="U96" s="176">
        <v>30</v>
      </c>
      <c r="V96" s="157">
        <v>0</v>
      </c>
      <c r="W96" s="13"/>
      <c r="X96" s="13"/>
      <c r="Y96" s="168" t="s">
        <v>332</v>
      </c>
      <c r="Z96" s="2" t="s">
        <v>167</v>
      </c>
      <c r="AA96" s="2" t="s">
        <v>322</v>
      </c>
      <c r="AB96" s="33">
        <f t="shared" si="47"/>
        <v>850</v>
      </c>
      <c r="AC96" s="13"/>
      <c r="AD96" s="99">
        <f t="shared" si="33"/>
        <v>851.125</v>
      </c>
      <c r="AE96" s="56">
        <f t="shared" si="34"/>
        <v>728.26219512195121</v>
      </c>
      <c r="AF96" s="56">
        <f t="shared" si="42"/>
        <v>850</v>
      </c>
      <c r="AG96" s="56">
        <f t="shared" si="43"/>
        <v>1032.6067073170732</v>
      </c>
      <c r="AH96" s="56">
        <f t="shared" si="44"/>
        <v>1244.7256097560976</v>
      </c>
      <c r="AI96" s="13"/>
      <c r="AJ96" s="56">
        <f t="shared" si="37"/>
        <v>121.73780487804878</v>
      </c>
      <c r="AK96" s="47">
        <f t="shared" si="38"/>
        <v>151.25</v>
      </c>
      <c r="AL96" s="56">
        <f t="shared" si="39"/>
        <v>182.60670731707316</v>
      </c>
      <c r="AM96" s="56">
        <f t="shared" si="40"/>
        <v>212.11890243902437</v>
      </c>
      <c r="AN96" s="48">
        <f t="shared" si="41"/>
        <v>184.45121951219511</v>
      </c>
    </row>
    <row r="97" spans="1:40" x14ac:dyDescent="0.35">
      <c r="A97" s="21" t="str">
        <f ca="1">crewedtanks[[#This Row],[Column1]]&amp;"_"&amp;OFFSET(crewedtanks[[#This Row],[Column3]],0,setup!C$9)&amp;""</f>
        <v>Jagdpanther_700</v>
      </c>
      <c r="B97" s="42" t="str">
        <f t="shared" si="46"/>
        <v>Jagdpanther</v>
      </c>
      <c r="C97" s="13"/>
      <c r="D97" s="181">
        <f t="shared" si="49"/>
        <v>578</v>
      </c>
      <c r="E97" s="182">
        <f t="shared" si="50"/>
        <v>700</v>
      </c>
      <c r="F97" s="181">
        <f t="shared" si="51"/>
        <v>883</v>
      </c>
      <c r="G97" s="181">
        <f t="shared" si="52"/>
        <v>1095</v>
      </c>
      <c r="I97" s="59"/>
      <c r="J97" s="59"/>
      <c r="K97" s="154" t="s">
        <v>299</v>
      </c>
      <c r="L97" s="156">
        <v>11</v>
      </c>
      <c r="M97" s="156">
        <v>1</v>
      </c>
      <c r="N97" s="169">
        <v>44</v>
      </c>
      <c r="O97" s="170">
        <v>5</v>
      </c>
      <c r="P97" s="171">
        <v>9</v>
      </c>
      <c r="Q97" s="172">
        <v>6</v>
      </c>
      <c r="R97" s="173">
        <v>5</v>
      </c>
      <c r="S97" s="174">
        <v>5</v>
      </c>
      <c r="T97" s="175">
        <v>6</v>
      </c>
      <c r="U97" s="176">
        <v>30</v>
      </c>
      <c r="V97" s="157">
        <v>0</v>
      </c>
      <c r="W97" s="13">
        <v>-30</v>
      </c>
      <c r="X97" s="13"/>
      <c r="Y97" s="168" t="s">
        <v>332</v>
      </c>
      <c r="Z97" s="2" t="s">
        <v>168</v>
      </c>
      <c r="AA97" s="2" t="s">
        <v>323</v>
      </c>
      <c r="AB97" s="33">
        <f t="shared" si="47"/>
        <v>700</v>
      </c>
      <c r="AC97" s="13"/>
      <c r="AD97" s="99">
        <f t="shared" si="33"/>
        <v>697.75</v>
      </c>
      <c r="AE97" s="56">
        <f t="shared" si="34"/>
        <v>578.26219512195121</v>
      </c>
      <c r="AF97" s="56">
        <f t="shared" si="42"/>
        <v>700</v>
      </c>
      <c r="AG97" s="56">
        <f t="shared" si="43"/>
        <v>882.60670731707319</v>
      </c>
      <c r="AH97" s="56">
        <f t="shared" si="44"/>
        <v>1094.7256097560976</v>
      </c>
      <c r="AI97" s="13"/>
      <c r="AJ97" s="56">
        <f t="shared" si="37"/>
        <v>121.73780487804878</v>
      </c>
      <c r="AK97" s="47">
        <f t="shared" si="38"/>
        <v>151.25</v>
      </c>
      <c r="AL97" s="56">
        <f t="shared" si="39"/>
        <v>182.60670731707316</v>
      </c>
      <c r="AM97" s="56">
        <f t="shared" si="40"/>
        <v>212.11890243902437</v>
      </c>
      <c r="AN97" s="48">
        <f t="shared" si="41"/>
        <v>184.45121951219511</v>
      </c>
    </row>
    <row r="98" spans="1:40" x14ac:dyDescent="0.35">
      <c r="A98" s="21" t="str">
        <f ca="1">crewedtanks[[#This Row],[Column1]]&amp;"_"&amp;OFFSET(crewedtanks[[#This Row],[Column3]],0,setup!C$9)&amp;""</f>
        <v>King Tiger_970</v>
      </c>
      <c r="B98" s="42" t="str">
        <f t="shared" si="46"/>
        <v>King Tiger</v>
      </c>
      <c r="C98" s="13"/>
      <c r="D98" s="181">
        <f t="shared" si="49"/>
        <v>848</v>
      </c>
      <c r="E98" s="182">
        <f t="shared" si="50"/>
        <v>970</v>
      </c>
      <c r="F98" s="181">
        <f t="shared" si="51"/>
        <v>1153</v>
      </c>
      <c r="G98" s="181">
        <f t="shared" si="52"/>
        <v>1365</v>
      </c>
      <c r="I98" s="59"/>
      <c r="J98" s="59"/>
      <c r="K98" s="154" t="s">
        <v>300</v>
      </c>
      <c r="L98" s="156">
        <v>11</v>
      </c>
      <c r="M98" s="156">
        <v>1</v>
      </c>
      <c r="N98" s="169">
        <v>44</v>
      </c>
      <c r="O98" s="170">
        <v>5</v>
      </c>
      <c r="P98" s="171">
        <v>10</v>
      </c>
      <c r="Q98" s="172">
        <v>9</v>
      </c>
      <c r="R98" s="173">
        <v>6</v>
      </c>
      <c r="S98" s="174">
        <v>4</v>
      </c>
      <c r="T98" s="175">
        <v>6</v>
      </c>
      <c r="U98" s="176">
        <v>30</v>
      </c>
      <c r="V98" s="157">
        <v>0</v>
      </c>
      <c r="W98" s="13"/>
      <c r="X98" s="13"/>
      <c r="Y98" s="168" t="s">
        <v>332</v>
      </c>
      <c r="Z98" s="2" t="s">
        <v>168</v>
      </c>
      <c r="AA98" s="2" t="s">
        <v>324</v>
      </c>
      <c r="AB98" s="33">
        <f t="shared" si="47"/>
        <v>970</v>
      </c>
      <c r="AC98" s="13"/>
      <c r="AD98" s="99">
        <f t="shared" si="33"/>
        <v>969</v>
      </c>
      <c r="AE98" s="56">
        <f t="shared" si="34"/>
        <v>848.26219512195121</v>
      </c>
      <c r="AF98" s="56">
        <f t="shared" si="42"/>
        <v>970</v>
      </c>
      <c r="AG98" s="56">
        <f t="shared" si="43"/>
        <v>1152.6067073170732</v>
      </c>
      <c r="AH98" s="56">
        <f t="shared" si="44"/>
        <v>1364.7256097560976</v>
      </c>
      <c r="AI98" s="13"/>
      <c r="AJ98" s="56">
        <f t="shared" si="37"/>
        <v>121.73780487804878</v>
      </c>
      <c r="AK98" s="47">
        <f t="shared" si="38"/>
        <v>151.25</v>
      </c>
      <c r="AL98" s="56">
        <f t="shared" si="39"/>
        <v>182.60670731707316</v>
      </c>
      <c r="AM98" s="56">
        <f t="shared" si="40"/>
        <v>212.11890243902437</v>
      </c>
      <c r="AN98" s="48">
        <f t="shared" si="41"/>
        <v>184.45121951219511</v>
      </c>
    </row>
    <row r="99" spans="1:40" x14ac:dyDescent="0.35">
      <c r="A99" s="21" t="str">
        <f ca="1">crewedtanks[[#This Row],[Column1]]&amp;"_"&amp;OFFSET(crewedtanks[[#This Row],[Column3]],0,setup!C$9)&amp;""</f>
        <v>KV-1b_795</v>
      </c>
      <c r="B99" s="42" t="str">
        <f t="shared" si="46"/>
        <v>KV-1b</v>
      </c>
      <c r="C99" s="13"/>
      <c r="D99" s="181">
        <f t="shared" si="49"/>
        <v>770</v>
      </c>
      <c r="E99" s="182">
        <f t="shared" si="50"/>
        <v>795</v>
      </c>
      <c r="F99" s="181">
        <f t="shared" si="51"/>
        <v>833</v>
      </c>
      <c r="G99" s="181">
        <f t="shared" si="52"/>
        <v>877</v>
      </c>
      <c r="I99" s="59"/>
      <c r="J99" s="59"/>
      <c r="K99" s="154" t="s">
        <v>163</v>
      </c>
      <c r="L99" s="156">
        <v>5</v>
      </c>
      <c r="M99" s="156">
        <v>1</v>
      </c>
      <c r="N99" s="169">
        <v>32</v>
      </c>
      <c r="O99" s="170">
        <v>3</v>
      </c>
      <c r="P99" s="171">
        <v>10</v>
      </c>
      <c r="Q99" s="172">
        <v>8</v>
      </c>
      <c r="R99" s="173">
        <v>6</v>
      </c>
      <c r="S99" s="174">
        <v>4</v>
      </c>
      <c r="T99" s="175">
        <v>6</v>
      </c>
      <c r="U99" s="176">
        <v>30</v>
      </c>
      <c r="V99" s="157">
        <v>0</v>
      </c>
      <c r="W99" s="13"/>
      <c r="X99" s="13"/>
      <c r="Y99" s="168" t="s">
        <v>332</v>
      </c>
      <c r="Z99" s="2" t="s">
        <v>326</v>
      </c>
      <c r="AA99" s="2" t="s">
        <v>318</v>
      </c>
      <c r="AB99" s="33">
        <f t="shared" si="47"/>
        <v>795</v>
      </c>
      <c r="AC99" s="13"/>
      <c r="AD99" s="99">
        <f>((((P99*P99)*3.1)+((Q99*Q99)*2.6)+((R99*R99)*1.1))+(S99)+(T99*10)+(U99)+(W99)+(L99*L99*M99)+(V99/2)+(X99))*1.25</f>
        <v>793.75</v>
      </c>
      <c r="AE99" s="56">
        <f t="shared" si="34"/>
        <v>769.84756097560978</v>
      </c>
      <c r="AF99" s="56">
        <f t="shared" si="42"/>
        <v>795</v>
      </c>
      <c r="AG99" s="56">
        <f t="shared" si="43"/>
        <v>832.72865853658539</v>
      </c>
      <c r="AH99" s="56">
        <f t="shared" si="44"/>
        <v>876.55487804878055</v>
      </c>
      <c r="AI99" s="13"/>
      <c r="AJ99" s="56">
        <f t="shared" si="37"/>
        <v>25.152439024390244</v>
      </c>
      <c r="AK99" s="47">
        <f t="shared" si="38"/>
        <v>31.25</v>
      </c>
      <c r="AL99" s="56">
        <f t="shared" si="39"/>
        <v>37.728658536585364</v>
      </c>
      <c r="AM99" s="56">
        <f t="shared" si="40"/>
        <v>43.826219512195117</v>
      </c>
      <c r="AN99" s="48">
        <f t="shared" si="41"/>
        <v>38.109756097560975</v>
      </c>
    </row>
    <row r="100" spans="1:40" x14ac:dyDescent="0.35">
      <c r="A100" s="21" t="str">
        <f ca="1">crewedtanks[[#This Row],[Column1]]&amp;"_"&amp;OFFSET(crewedtanks[[#This Row],[Column3]],0,setup!C$9)&amp;""</f>
        <v>IS-2_970</v>
      </c>
      <c r="B100" s="42" t="str">
        <f t="shared" si="46"/>
        <v>IS-2</v>
      </c>
      <c r="C100" s="13"/>
      <c r="D100" s="181">
        <f t="shared" si="49"/>
        <v>848</v>
      </c>
      <c r="E100" s="182">
        <f t="shared" si="50"/>
        <v>970</v>
      </c>
      <c r="F100" s="181">
        <f t="shared" si="51"/>
        <v>1153</v>
      </c>
      <c r="G100" s="181">
        <f t="shared" si="52"/>
        <v>1365</v>
      </c>
      <c r="I100" s="59"/>
      <c r="J100" s="59"/>
      <c r="K100" s="158" t="s">
        <v>301</v>
      </c>
      <c r="L100" s="156">
        <v>11</v>
      </c>
      <c r="M100" s="156">
        <v>1</v>
      </c>
      <c r="N100" s="169">
        <v>44</v>
      </c>
      <c r="O100" s="170">
        <v>6</v>
      </c>
      <c r="P100" s="171">
        <v>10</v>
      </c>
      <c r="Q100" s="172">
        <v>9</v>
      </c>
      <c r="R100" s="173">
        <v>6</v>
      </c>
      <c r="S100" s="174">
        <v>4</v>
      </c>
      <c r="T100" s="175">
        <v>6</v>
      </c>
      <c r="U100" s="176">
        <v>30</v>
      </c>
      <c r="V100" s="157">
        <v>0</v>
      </c>
      <c r="W100" s="13"/>
      <c r="X100" s="13"/>
      <c r="Y100" s="179" t="s">
        <v>332</v>
      </c>
      <c r="Z100" s="179" t="s">
        <v>326</v>
      </c>
      <c r="AA100" s="179" t="s">
        <v>325</v>
      </c>
      <c r="AB100" s="33">
        <f t="shared" si="47"/>
        <v>970</v>
      </c>
      <c r="AC100" s="13"/>
      <c r="AD100" s="99">
        <f>((((P100*P100)*3.1)+((Q100*Q100)*2.6)+((R100*R100)*1.1))+(S100)+(T100*10)+(U100)+(W100)+(L100*L100*M100)+(V100/2)+(X100))*1.25</f>
        <v>969</v>
      </c>
      <c r="AE100" s="56">
        <f t="shared" si="34"/>
        <v>848.26219512195121</v>
      </c>
      <c r="AF100" s="56">
        <f t="shared" si="42"/>
        <v>970</v>
      </c>
      <c r="AG100" s="56">
        <f t="shared" si="43"/>
        <v>1152.6067073170732</v>
      </c>
      <c r="AH100" s="56">
        <f t="shared" si="44"/>
        <v>1364.7256097560976</v>
      </c>
      <c r="AI100" s="13"/>
      <c r="AJ100" s="56">
        <f t="shared" si="37"/>
        <v>121.73780487804878</v>
      </c>
      <c r="AK100" s="47">
        <f t="shared" si="38"/>
        <v>151.25</v>
      </c>
      <c r="AL100" s="56">
        <f t="shared" si="39"/>
        <v>182.60670731707316</v>
      </c>
      <c r="AM100" s="56">
        <f t="shared" si="40"/>
        <v>212.11890243902437</v>
      </c>
      <c r="AN100" s="48">
        <f t="shared" si="41"/>
        <v>184.45121951219511</v>
      </c>
    </row>
    <row r="101" spans="1:40" x14ac:dyDescent="0.35">
      <c r="A101" s="21" t="str">
        <f ca="1">crewedtanks[[#This Row],[Column1]]&amp;"_"&amp;OFFSET(crewedtanks[[#This Row],[Column3]],0,setup!C$9)&amp;""</f>
        <v>comet_485</v>
      </c>
      <c r="B101" s="42" t="str">
        <f t="shared" si="46"/>
        <v>comet</v>
      </c>
      <c r="C101" s="13"/>
      <c r="D101" s="181">
        <f t="shared" ref="D101" si="53">MROUND(AE101,1)</f>
        <v>384</v>
      </c>
      <c r="E101" s="182">
        <f t="shared" ref="E101" si="54">AF101</f>
        <v>485</v>
      </c>
      <c r="F101" s="181">
        <f t="shared" ref="F101" si="55">MROUND(AG101,1)</f>
        <v>636</v>
      </c>
      <c r="G101" s="181">
        <f t="shared" ref="G101" si="56">MROUND(AH101,1)</f>
        <v>811</v>
      </c>
      <c r="I101" s="59"/>
      <c r="J101" s="59"/>
      <c r="K101" s="159" t="s">
        <v>533</v>
      </c>
      <c r="L101" s="156">
        <v>10</v>
      </c>
      <c r="M101" s="156">
        <v>1</v>
      </c>
      <c r="N101" s="169">
        <v>42</v>
      </c>
      <c r="O101" s="170">
        <v>5</v>
      </c>
      <c r="P101" s="171">
        <v>7</v>
      </c>
      <c r="Q101" s="172">
        <v>4</v>
      </c>
      <c r="R101" s="173">
        <v>3</v>
      </c>
      <c r="S101" s="174">
        <v>6</v>
      </c>
      <c r="T101" s="175">
        <v>5</v>
      </c>
      <c r="U101" s="176">
        <v>30</v>
      </c>
      <c r="V101" s="209">
        <v>0</v>
      </c>
      <c r="Y101" s="210" t="s">
        <v>331</v>
      </c>
      <c r="Z101" s="210" t="s">
        <v>171</v>
      </c>
      <c r="AA101" s="179" t="s">
        <v>534</v>
      </c>
      <c r="AB101" s="15">
        <f t="shared" ref="AB101:AB121" si="57">MROUND(AD101,5)</f>
        <v>485</v>
      </c>
      <c r="AC101" s="13"/>
      <c r="AD101" s="99">
        <f t="shared" ref="AD101:AD121" si="58">((((P101*P101)*3.1)+((Q101*Q101)*2.6)+((R101*R101)*1.1))+(S101)+(T101*10)+(U101)+(W101)+(L101*L101*M101)+(V101/2)+(X101))*1.25</f>
        <v>486.75</v>
      </c>
      <c r="AE101" s="56">
        <f t="shared" ref="AE101:AE121" si="59">AB101-AJ101</f>
        <v>384.39024390243901</v>
      </c>
      <c r="AF101" s="56">
        <f t="shared" ref="AF101:AF121" si="60">AB101</f>
        <v>485</v>
      </c>
      <c r="AG101" s="56">
        <f t="shared" ref="AG101:AG121" si="61">AB101+AL101</f>
        <v>635.91463414634143</v>
      </c>
      <c r="AH101" s="56">
        <f t="shared" ref="AH101:AH121" si="62">AB101+AL101+AM101</f>
        <v>811.21951219512187</v>
      </c>
      <c r="AI101" s="13"/>
      <c r="AJ101" s="56">
        <f t="shared" si="37"/>
        <v>100.60975609756098</v>
      </c>
      <c r="AK101" s="47">
        <f t="shared" si="38"/>
        <v>125</v>
      </c>
      <c r="AL101" s="56">
        <f t="shared" si="39"/>
        <v>150.91463414634146</v>
      </c>
      <c r="AM101" s="56">
        <f t="shared" si="40"/>
        <v>175.30487804878047</v>
      </c>
      <c r="AN101" s="48">
        <f t="shared" si="41"/>
        <v>152.4390243902439</v>
      </c>
    </row>
    <row r="102" spans="1:40" x14ac:dyDescent="0.35">
      <c r="A102" s="21" t="str">
        <f ca="1">crewedtanks[[#This Row],[Column1]]&amp;"_"&amp;OFFSET(crewedtanks[[#This Row],[Column3]],0,setup!C$9)&amp;""</f>
        <v>0_0</v>
      </c>
      <c r="B102" s="293">
        <f t="shared" si="46"/>
        <v>0</v>
      </c>
      <c r="C102" s="59"/>
      <c r="D102" s="199">
        <f t="shared" ref="D102:D120" si="63">MROUND(AE102,1)</f>
        <v>0</v>
      </c>
      <c r="E102" s="180">
        <f t="shared" ref="E102:E120" si="64">AF102</f>
        <v>0</v>
      </c>
      <c r="F102" s="199">
        <f t="shared" ref="F102:F120" si="65">MROUND(AG102,1)</f>
        <v>0</v>
      </c>
      <c r="G102" s="199">
        <f t="shared" ref="G102:G120" si="66">MROUND(AH102,1)</f>
        <v>0</v>
      </c>
      <c r="I102" s="59"/>
      <c r="J102" s="59"/>
      <c r="K102" s="159"/>
      <c r="L102" s="156"/>
      <c r="M102" s="156"/>
      <c r="N102" s="169"/>
      <c r="O102" s="170"/>
      <c r="P102" s="171"/>
      <c r="Q102" s="172"/>
      <c r="R102" s="173"/>
      <c r="S102" s="174"/>
      <c r="T102" s="175"/>
      <c r="U102" s="176"/>
      <c r="V102" s="209"/>
      <c r="Y102" s="210"/>
      <c r="Z102" s="210"/>
      <c r="AA102" s="179"/>
      <c r="AB102" s="15">
        <f t="shared" si="57"/>
        <v>0</v>
      </c>
      <c r="AC102" s="13"/>
      <c r="AD102" s="99">
        <f t="shared" si="58"/>
        <v>0</v>
      </c>
      <c r="AE102" s="56">
        <f t="shared" si="59"/>
        <v>0</v>
      </c>
      <c r="AF102" s="56">
        <f t="shared" si="60"/>
        <v>0</v>
      </c>
      <c r="AG102" s="56">
        <f t="shared" si="61"/>
        <v>0</v>
      </c>
      <c r="AH102" s="56">
        <f t="shared" si="62"/>
        <v>0</v>
      </c>
      <c r="AI102" s="13"/>
      <c r="AJ102" s="56">
        <f t="shared" ref="AJ102:AJ121" si="67">$AN102*$AG$58</f>
        <v>0</v>
      </c>
      <c r="AK102" s="47">
        <f t="shared" ref="AK102:AK121" si="68">L102*L102*M102*1.25</f>
        <v>0</v>
      </c>
      <c r="AL102" s="56">
        <f t="shared" ref="AL102:AL121" si="69">$AN102*$AI$58</f>
        <v>0</v>
      </c>
      <c r="AM102" s="56">
        <f t="shared" ref="AM102:AM121" si="70">$AN102*$AJ$58</f>
        <v>0</v>
      </c>
      <c r="AN102" s="211">
        <f t="shared" ref="AN102:AN121" si="71">AK102*$AL$58</f>
        <v>0</v>
      </c>
    </row>
    <row r="103" spans="1:40" x14ac:dyDescent="0.35">
      <c r="A103" s="21" t="str">
        <f ca="1">crewedtanks[[#This Row],[Column1]]&amp;"_"&amp;OFFSET(crewedtanks[[#This Row],[Column3]],0,setup!C$9)&amp;""</f>
        <v>0_0</v>
      </c>
      <c r="B103" s="293">
        <f t="shared" si="46"/>
        <v>0</v>
      </c>
      <c r="C103" s="59"/>
      <c r="D103" s="199">
        <f t="shared" si="63"/>
        <v>0</v>
      </c>
      <c r="E103" s="180">
        <f t="shared" si="64"/>
        <v>0</v>
      </c>
      <c r="F103" s="199">
        <f t="shared" si="65"/>
        <v>0</v>
      </c>
      <c r="G103" s="199">
        <f t="shared" si="66"/>
        <v>0</v>
      </c>
      <c r="I103" s="59"/>
      <c r="J103" s="59"/>
      <c r="K103" s="159"/>
      <c r="L103" s="156"/>
      <c r="M103" s="156"/>
      <c r="N103" s="169"/>
      <c r="O103" s="170"/>
      <c r="P103" s="171"/>
      <c r="Q103" s="172"/>
      <c r="R103" s="173"/>
      <c r="S103" s="174"/>
      <c r="T103" s="175"/>
      <c r="U103" s="176"/>
      <c r="V103" s="209"/>
      <c r="Y103" s="210"/>
      <c r="Z103" s="210"/>
      <c r="AA103" s="179"/>
      <c r="AB103" s="15">
        <f t="shared" si="57"/>
        <v>0</v>
      </c>
      <c r="AC103" s="13"/>
      <c r="AD103" s="99">
        <f t="shared" si="58"/>
        <v>0</v>
      </c>
      <c r="AE103" s="56">
        <f t="shared" si="59"/>
        <v>0</v>
      </c>
      <c r="AF103" s="56">
        <f t="shared" si="60"/>
        <v>0</v>
      </c>
      <c r="AG103" s="56">
        <f t="shared" si="61"/>
        <v>0</v>
      </c>
      <c r="AH103" s="56">
        <f t="shared" si="62"/>
        <v>0</v>
      </c>
      <c r="AI103" s="13"/>
      <c r="AJ103" s="56">
        <f t="shared" si="67"/>
        <v>0</v>
      </c>
      <c r="AK103" s="47">
        <f t="shared" si="68"/>
        <v>0</v>
      </c>
      <c r="AL103" s="56">
        <f t="shared" si="69"/>
        <v>0</v>
      </c>
      <c r="AM103" s="56">
        <f t="shared" si="70"/>
        <v>0</v>
      </c>
      <c r="AN103" s="211">
        <f t="shared" si="71"/>
        <v>0</v>
      </c>
    </row>
    <row r="104" spans="1:40" x14ac:dyDescent="0.35">
      <c r="A104" s="21" t="str">
        <f ca="1">crewedtanks[[#This Row],[Column1]]&amp;"_"&amp;OFFSET(crewedtanks[[#This Row],[Column3]],0,setup!C$9)&amp;""</f>
        <v>0_0</v>
      </c>
      <c r="B104" s="293">
        <f t="shared" si="46"/>
        <v>0</v>
      </c>
      <c r="C104" s="59"/>
      <c r="D104" s="199">
        <f t="shared" si="63"/>
        <v>0</v>
      </c>
      <c r="E104" s="180">
        <f t="shared" si="64"/>
        <v>0</v>
      </c>
      <c r="F104" s="199">
        <f t="shared" si="65"/>
        <v>0</v>
      </c>
      <c r="G104" s="199">
        <f t="shared" si="66"/>
        <v>0</v>
      </c>
      <c r="I104" s="59"/>
      <c r="J104" s="59"/>
      <c r="K104" s="159"/>
      <c r="L104" s="156"/>
      <c r="M104" s="156"/>
      <c r="N104" s="169"/>
      <c r="O104" s="170"/>
      <c r="P104" s="171"/>
      <c r="Q104" s="172"/>
      <c r="R104" s="173"/>
      <c r="S104" s="174"/>
      <c r="T104" s="175"/>
      <c r="U104" s="176"/>
      <c r="V104" s="209"/>
      <c r="Y104" s="210"/>
      <c r="Z104" s="210"/>
      <c r="AA104" s="179"/>
      <c r="AB104" s="15">
        <f t="shared" si="57"/>
        <v>0</v>
      </c>
      <c r="AC104" s="13"/>
      <c r="AD104" s="99">
        <f t="shared" si="58"/>
        <v>0</v>
      </c>
      <c r="AE104" s="56">
        <f t="shared" si="59"/>
        <v>0</v>
      </c>
      <c r="AF104" s="56">
        <f t="shared" si="60"/>
        <v>0</v>
      </c>
      <c r="AG104" s="56">
        <f t="shared" si="61"/>
        <v>0</v>
      </c>
      <c r="AH104" s="56">
        <f t="shared" si="62"/>
        <v>0</v>
      </c>
      <c r="AI104" s="13"/>
      <c r="AJ104" s="56">
        <f t="shared" si="67"/>
        <v>0</v>
      </c>
      <c r="AK104" s="47">
        <f t="shared" si="68"/>
        <v>0</v>
      </c>
      <c r="AL104" s="56">
        <f t="shared" si="69"/>
        <v>0</v>
      </c>
      <c r="AM104" s="56">
        <f t="shared" si="70"/>
        <v>0</v>
      </c>
      <c r="AN104" s="211">
        <f t="shared" si="71"/>
        <v>0</v>
      </c>
    </row>
    <row r="105" spans="1:40" x14ac:dyDescent="0.35">
      <c r="A105" s="21" t="str">
        <f ca="1">crewedtanks[[#This Row],[Column1]]&amp;"_"&amp;OFFSET(crewedtanks[[#This Row],[Column3]],0,setup!C$9)&amp;""</f>
        <v>0_0</v>
      </c>
      <c r="B105" s="293">
        <f t="shared" si="46"/>
        <v>0</v>
      </c>
      <c r="C105" s="59"/>
      <c r="D105" s="199">
        <f t="shared" si="63"/>
        <v>0</v>
      </c>
      <c r="E105" s="180">
        <f t="shared" si="64"/>
        <v>0</v>
      </c>
      <c r="F105" s="199">
        <f t="shared" si="65"/>
        <v>0</v>
      </c>
      <c r="G105" s="199">
        <f t="shared" si="66"/>
        <v>0</v>
      </c>
      <c r="I105" s="59"/>
      <c r="J105" s="59"/>
      <c r="K105" s="159"/>
      <c r="L105" s="156"/>
      <c r="M105" s="156"/>
      <c r="N105" s="169"/>
      <c r="O105" s="170"/>
      <c r="P105" s="171"/>
      <c r="Q105" s="172"/>
      <c r="R105" s="173"/>
      <c r="S105" s="174"/>
      <c r="T105" s="175"/>
      <c r="U105" s="176"/>
      <c r="V105" s="209"/>
      <c r="Y105" s="210"/>
      <c r="Z105" s="210"/>
      <c r="AA105" s="179"/>
      <c r="AB105" s="15">
        <f t="shared" si="57"/>
        <v>0</v>
      </c>
      <c r="AC105" s="13"/>
      <c r="AD105" s="99">
        <f t="shared" si="58"/>
        <v>0</v>
      </c>
      <c r="AE105" s="56">
        <f t="shared" si="59"/>
        <v>0</v>
      </c>
      <c r="AF105" s="56">
        <f t="shared" si="60"/>
        <v>0</v>
      </c>
      <c r="AG105" s="56">
        <f t="shared" si="61"/>
        <v>0</v>
      </c>
      <c r="AH105" s="56">
        <f t="shared" si="62"/>
        <v>0</v>
      </c>
      <c r="AI105" s="13"/>
      <c r="AJ105" s="56">
        <f t="shared" si="67"/>
        <v>0</v>
      </c>
      <c r="AK105" s="47">
        <f t="shared" si="68"/>
        <v>0</v>
      </c>
      <c r="AL105" s="56">
        <f t="shared" si="69"/>
        <v>0</v>
      </c>
      <c r="AM105" s="56">
        <f t="shared" si="70"/>
        <v>0</v>
      </c>
      <c r="AN105" s="211">
        <f t="shared" si="71"/>
        <v>0</v>
      </c>
    </row>
    <row r="106" spans="1:40" x14ac:dyDescent="0.35">
      <c r="A106" s="21" t="str">
        <f ca="1">crewedtanks[[#This Row],[Column1]]&amp;"_"&amp;OFFSET(crewedtanks[[#This Row],[Column3]],0,setup!C$9)&amp;""</f>
        <v>0_0</v>
      </c>
      <c r="B106" s="293">
        <f t="shared" si="46"/>
        <v>0</v>
      </c>
      <c r="C106" s="59"/>
      <c r="D106" s="199">
        <f t="shared" si="63"/>
        <v>0</v>
      </c>
      <c r="E106" s="180">
        <f t="shared" si="64"/>
        <v>0</v>
      </c>
      <c r="F106" s="199">
        <f t="shared" si="65"/>
        <v>0</v>
      </c>
      <c r="G106" s="199">
        <f t="shared" si="66"/>
        <v>0</v>
      </c>
      <c r="I106" s="59"/>
      <c r="J106" s="59"/>
      <c r="K106" s="159"/>
      <c r="L106" s="156"/>
      <c r="M106" s="156"/>
      <c r="N106" s="169"/>
      <c r="O106" s="170"/>
      <c r="P106" s="171"/>
      <c r="Q106" s="172"/>
      <c r="R106" s="173"/>
      <c r="S106" s="174"/>
      <c r="T106" s="175"/>
      <c r="U106" s="176"/>
      <c r="V106" s="209"/>
      <c r="Y106" s="210"/>
      <c r="Z106" s="210"/>
      <c r="AA106" s="179"/>
      <c r="AB106" s="15">
        <f t="shared" si="57"/>
        <v>0</v>
      </c>
      <c r="AC106" s="13"/>
      <c r="AD106" s="99">
        <f t="shared" si="58"/>
        <v>0</v>
      </c>
      <c r="AE106" s="56">
        <f t="shared" si="59"/>
        <v>0</v>
      </c>
      <c r="AF106" s="56">
        <f t="shared" si="60"/>
        <v>0</v>
      </c>
      <c r="AG106" s="56">
        <f t="shared" si="61"/>
        <v>0</v>
      </c>
      <c r="AH106" s="56">
        <f t="shared" si="62"/>
        <v>0</v>
      </c>
      <c r="AI106" s="13"/>
      <c r="AJ106" s="56">
        <f t="shared" si="67"/>
        <v>0</v>
      </c>
      <c r="AK106" s="47">
        <f t="shared" si="68"/>
        <v>0</v>
      </c>
      <c r="AL106" s="56">
        <f t="shared" si="69"/>
        <v>0</v>
      </c>
      <c r="AM106" s="56">
        <f t="shared" si="70"/>
        <v>0</v>
      </c>
      <c r="AN106" s="211">
        <f t="shared" si="71"/>
        <v>0</v>
      </c>
    </row>
    <row r="107" spans="1:40" x14ac:dyDescent="0.35">
      <c r="A107" s="21" t="str">
        <f ca="1">crewedtanks[[#This Row],[Column1]]&amp;"_"&amp;OFFSET(crewedtanks[[#This Row],[Column3]],0,setup!C$9)&amp;""</f>
        <v>0_0</v>
      </c>
      <c r="B107" s="293">
        <f t="shared" si="46"/>
        <v>0</v>
      </c>
      <c r="C107" s="59"/>
      <c r="D107" s="199">
        <f t="shared" si="63"/>
        <v>0</v>
      </c>
      <c r="E107" s="180">
        <f t="shared" si="64"/>
        <v>0</v>
      </c>
      <c r="F107" s="199">
        <f t="shared" si="65"/>
        <v>0</v>
      </c>
      <c r="G107" s="199">
        <f t="shared" si="66"/>
        <v>0</v>
      </c>
      <c r="I107" s="59"/>
      <c r="J107" s="59"/>
      <c r="K107" s="159"/>
      <c r="L107" s="156"/>
      <c r="M107" s="156"/>
      <c r="N107" s="169"/>
      <c r="O107" s="170"/>
      <c r="P107" s="171"/>
      <c r="Q107" s="172"/>
      <c r="R107" s="173"/>
      <c r="S107" s="174"/>
      <c r="T107" s="175"/>
      <c r="U107" s="176"/>
      <c r="V107" s="209"/>
      <c r="Y107" s="210"/>
      <c r="Z107" s="210"/>
      <c r="AA107" s="179"/>
      <c r="AB107" s="15">
        <f t="shared" si="57"/>
        <v>0</v>
      </c>
      <c r="AC107" s="13"/>
      <c r="AD107" s="99">
        <f t="shared" si="58"/>
        <v>0</v>
      </c>
      <c r="AE107" s="56">
        <f t="shared" si="59"/>
        <v>0</v>
      </c>
      <c r="AF107" s="56">
        <f t="shared" si="60"/>
        <v>0</v>
      </c>
      <c r="AG107" s="56">
        <f t="shared" si="61"/>
        <v>0</v>
      </c>
      <c r="AH107" s="56">
        <f t="shared" si="62"/>
        <v>0</v>
      </c>
      <c r="AI107" s="13"/>
      <c r="AJ107" s="56">
        <f t="shared" si="67"/>
        <v>0</v>
      </c>
      <c r="AK107" s="47">
        <f t="shared" si="68"/>
        <v>0</v>
      </c>
      <c r="AL107" s="56">
        <f t="shared" si="69"/>
        <v>0</v>
      </c>
      <c r="AM107" s="56">
        <f t="shared" si="70"/>
        <v>0</v>
      </c>
      <c r="AN107" s="211">
        <f t="shared" si="71"/>
        <v>0</v>
      </c>
    </row>
    <row r="108" spans="1:40" x14ac:dyDescent="0.35">
      <c r="A108" s="21" t="str">
        <f ca="1">crewedtanks[[#This Row],[Column1]]&amp;"_"&amp;OFFSET(crewedtanks[[#This Row],[Column3]],0,setup!C$9)&amp;""</f>
        <v>0_0</v>
      </c>
      <c r="B108" s="293">
        <f t="shared" si="46"/>
        <v>0</v>
      </c>
      <c r="C108" s="59"/>
      <c r="D108" s="199">
        <f t="shared" si="63"/>
        <v>0</v>
      </c>
      <c r="E108" s="180">
        <f t="shared" si="64"/>
        <v>0</v>
      </c>
      <c r="F108" s="199">
        <f t="shared" si="65"/>
        <v>0</v>
      </c>
      <c r="G108" s="199">
        <f t="shared" si="66"/>
        <v>0</v>
      </c>
      <c r="I108" s="59"/>
      <c r="J108" s="59"/>
      <c r="K108" s="159"/>
      <c r="L108" s="156"/>
      <c r="M108" s="156"/>
      <c r="N108" s="169"/>
      <c r="O108" s="170"/>
      <c r="P108" s="171"/>
      <c r="Q108" s="172"/>
      <c r="R108" s="173"/>
      <c r="S108" s="174"/>
      <c r="T108" s="175"/>
      <c r="U108" s="176"/>
      <c r="V108" s="209"/>
      <c r="Y108" s="210"/>
      <c r="Z108" s="210"/>
      <c r="AA108" s="179"/>
      <c r="AB108" s="15">
        <f t="shared" si="57"/>
        <v>0</v>
      </c>
      <c r="AC108" s="13"/>
      <c r="AD108" s="99">
        <f t="shared" si="58"/>
        <v>0</v>
      </c>
      <c r="AE108" s="56">
        <f t="shared" si="59"/>
        <v>0</v>
      </c>
      <c r="AF108" s="56">
        <f t="shared" si="60"/>
        <v>0</v>
      </c>
      <c r="AG108" s="56">
        <f t="shared" si="61"/>
        <v>0</v>
      </c>
      <c r="AH108" s="56">
        <f t="shared" si="62"/>
        <v>0</v>
      </c>
      <c r="AI108" s="13"/>
      <c r="AJ108" s="56">
        <f t="shared" si="67"/>
        <v>0</v>
      </c>
      <c r="AK108" s="47">
        <f t="shared" si="68"/>
        <v>0</v>
      </c>
      <c r="AL108" s="56">
        <f t="shared" si="69"/>
        <v>0</v>
      </c>
      <c r="AM108" s="56">
        <f t="shared" si="70"/>
        <v>0</v>
      </c>
      <c r="AN108" s="211">
        <f t="shared" si="71"/>
        <v>0</v>
      </c>
    </row>
    <row r="109" spans="1:40" x14ac:dyDescent="0.35">
      <c r="A109" s="21" t="str">
        <f ca="1">crewedtanks[[#This Row],[Column1]]&amp;"_"&amp;OFFSET(crewedtanks[[#This Row],[Column3]],0,setup!C$9)&amp;""</f>
        <v>0_0</v>
      </c>
      <c r="B109" s="293">
        <f t="shared" si="46"/>
        <v>0</v>
      </c>
      <c r="C109" s="59"/>
      <c r="D109" s="199">
        <f t="shared" si="63"/>
        <v>0</v>
      </c>
      <c r="E109" s="180">
        <f t="shared" si="64"/>
        <v>0</v>
      </c>
      <c r="F109" s="199">
        <f t="shared" si="65"/>
        <v>0</v>
      </c>
      <c r="G109" s="199">
        <f t="shared" si="66"/>
        <v>0</v>
      </c>
      <c r="I109" s="59"/>
      <c r="J109" s="59"/>
      <c r="K109" s="159"/>
      <c r="L109" s="156"/>
      <c r="M109" s="156"/>
      <c r="N109" s="169"/>
      <c r="O109" s="170"/>
      <c r="P109" s="171"/>
      <c r="Q109" s="172"/>
      <c r="R109" s="173"/>
      <c r="S109" s="174"/>
      <c r="T109" s="175"/>
      <c r="U109" s="176"/>
      <c r="V109" s="209"/>
      <c r="Y109" s="210"/>
      <c r="Z109" s="210"/>
      <c r="AA109" s="179"/>
      <c r="AB109" s="15">
        <f t="shared" si="57"/>
        <v>0</v>
      </c>
      <c r="AC109" s="13"/>
      <c r="AD109" s="99">
        <f t="shared" si="58"/>
        <v>0</v>
      </c>
      <c r="AE109" s="56">
        <f t="shared" si="59"/>
        <v>0</v>
      </c>
      <c r="AF109" s="56">
        <f t="shared" si="60"/>
        <v>0</v>
      </c>
      <c r="AG109" s="56">
        <f t="shared" si="61"/>
        <v>0</v>
      </c>
      <c r="AH109" s="56">
        <f t="shared" si="62"/>
        <v>0</v>
      </c>
      <c r="AI109" s="13"/>
      <c r="AJ109" s="56">
        <f t="shared" si="67"/>
        <v>0</v>
      </c>
      <c r="AK109" s="47">
        <f t="shared" si="68"/>
        <v>0</v>
      </c>
      <c r="AL109" s="56">
        <f t="shared" si="69"/>
        <v>0</v>
      </c>
      <c r="AM109" s="56">
        <f t="shared" si="70"/>
        <v>0</v>
      </c>
      <c r="AN109" s="211">
        <f t="shared" si="71"/>
        <v>0</v>
      </c>
    </row>
    <row r="110" spans="1:40" x14ac:dyDescent="0.35">
      <c r="A110" s="21" t="str">
        <f ca="1">crewedtanks[[#This Row],[Column1]]&amp;"_"&amp;OFFSET(crewedtanks[[#This Row],[Column3]],0,setup!C$9)&amp;""</f>
        <v>0_0</v>
      </c>
      <c r="B110" s="293">
        <f t="shared" si="46"/>
        <v>0</v>
      </c>
      <c r="C110" s="59"/>
      <c r="D110" s="199">
        <f t="shared" si="63"/>
        <v>0</v>
      </c>
      <c r="E110" s="180">
        <f t="shared" si="64"/>
        <v>0</v>
      </c>
      <c r="F110" s="199">
        <f t="shared" si="65"/>
        <v>0</v>
      </c>
      <c r="G110" s="199">
        <f t="shared" si="66"/>
        <v>0</v>
      </c>
      <c r="I110" s="59"/>
      <c r="J110" s="59"/>
      <c r="K110" s="159"/>
      <c r="L110" s="156"/>
      <c r="M110" s="156"/>
      <c r="N110" s="169"/>
      <c r="O110" s="170"/>
      <c r="P110" s="171"/>
      <c r="Q110" s="172"/>
      <c r="R110" s="173"/>
      <c r="S110" s="174"/>
      <c r="T110" s="175"/>
      <c r="U110" s="176"/>
      <c r="V110" s="209"/>
      <c r="Y110" s="210"/>
      <c r="Z110" s="210"/>
      <c r="AA110" s="179"/>
      <c r="AB110" s="15">
        <f t="shared" si="57"/>
        <v>0</v>
      </c>
      <c r="AC110" s="13"/>
      <c r="AD110" s="99">
        <f t="shared" si="58"/>
        <v>0</v>
      </c>
      <c r="AE110" s="56">
        <f t="shared" si="59"/>
        <v>0</v>
      </c>
      <c r="AF110" s="56">
        <f t="shared" si="60"/>
        <v>0</v>
      </c>
      <c r="AG110" s="56">
        <f t="shared" si="61"/>
        <v>0</v>
      </c>
      <c r="AH110" s="56">
        <f t="shared" si="62"/>
        <v>0</v>
      </c>
      <c r="AI110" s="13"/>
      <c r="AJ110" s="56">
        <f t="shared" si="67"/>
        <v>0</v>
      </c>
      <c r="AK110" s="47">
        <f t="shared" si="68"/>
        <v>0</v>
      </c>
      <c r="AL110" s="56">
        <f t="shared" si="69"/>
        <v>0</v>
      </c>
      <c r="AM110" s="56">
        <f t="shared" si="70"/>
        <v>0</v>
      </c>
      <c r="AN110" s="211">
        <f t="shared" si="71"/>
        <v>0</v>
      </c>
    </row>
    <row r="111" spans="1:40" x14ac:dyDescent="0.35">
      <c r="A111" s="21" t="str">
        <f ca="1">crewedtanks[[#This Row],[Column1]]&amp;"_"&amp;OFFSET(crewedtanks[[#This Row],[Column3]],0,setup!C$9)&amp;""</f>
        <v>0_0</v>
      </c>
      <c r="B111" s="293">
        <f t="shared" si="46"/>
        <v>0</v>
      </c>
      <c r="C111" s="59"/>
      <c r="D111" s="199">
        <f t="shared" si="63"/>
        <v>0</v>
      </c>
      <c r="E111" s="180">
        <f t="shared" si="64"/>
        <v>0</v>
      </c>
      <c r="F111" s="199">
        <f t="shared" si="65"/>
        <v>0</v>
      </c>
      <c r="G111" s="199">
        <f t="shared" si="66"/>
        <v>0</v>
      </c>
      <c r="I111" s="59"/>
      <c r="J111" s="59"/>
      <c r="K111" s="159"/>
      <c r="L111" s="156"/>
      <c r="M111" s="156"/>
      <c r="N111" s="169"/>
      <c r="O111" s="170"/>
      <c r="P111" s="171"/>
      <c r="Q111" s="172"/>
      <c r="R111" s="173"/>
      <c r="S111" s="174"/>
      <c r="T111" s="175"/>
      <c r="U111" s="176"/>
      <c r="V111" s="209"/>
      <c r="Y111" s="210"/>
      <c r="Z111" s="210"/>
      <c r="AA111" s="179"/>
      <c r="AB111" s="15">
        <f t="shared" si="57"/>
        <v>0</v>
      </c>
      <c r="AC111" s="13"/>
      <c r="AD111" s="99">
        <f t="shared" si="58"/>
        <v>0</v>
      </c>
      <c r="AE111" s="56">
        <f t="shared" si="59"/>
        <v>0</v>
      </c>
      <c r="AF111" s="56">
        <f t="shared" si="60"/>
        <v>0</v>
      </c>
      <c r="AG111" s="56">
        <f t="shared" si="61"/>
        <v>0</v>
      </c>
      <c r="AH111" s="56">
        <f t="shared" si="62"/>
        <v>0</v>
      </c>
      <c r="AI111" s="13"/>
      <c r="AJ111" s="56">
        <f t="shared" si="67"/>
        <v>0</v>
      </c>
      <c r="AK111" s="47">
        <f t="shared" si="68"/>
        <v>0</v>
      </c>
      <c r="AL111" s="56">
        <f t="shared" si="69"/>
        <v>0</v>
      </c>
      <c r="AM111" s="56">
        <f t="shared" si="70"/>
        <v>0</v>
      </c>
      <c r="AN111" s="211">
        <f t="shared" si="71"/>
        <v>0</v>
      </c>
    </row>
    <row r="112" spans="1:40" x14ac:dyDescent="0.35">
      <c r="A112" s="21" t="str">
        <f ca="1">crewedtanks[[#This Row],[Column1]]&amp;"_"&amp;OFFSET(crewedtanks[[#This Row],[Column3]],0,setup!C$9)&amp;""</f>
        <v>0_0</v>
      </c>
      <c r="B112" s="293">
        <f t="shared" si="46"/>
        <v>0</v>
      </c>
      <c r="C112" s="59"/>
      <c r="D112" s="199">
        <f t="shared" si="63"/>
        <v>0</v>
      </c>
      <c r="E112" s="180">
        <f t="shared" si="64"/>
        <v>0</v>
      </c>
      <c r="F112" s="199">
        <f t="shared" si="65"/>
        <v>0</v>
      </c>
      <c r="G112" s="199">
        <f t="shared" si="66"/>
        <v>0</v>
      </c>
      <c r="I112" s="59"/>
      <c r="J112" s="59"/>
      <c r="K112" s="159"/>
      <c r="L112" s="156"/>
      <c r="M112" s="156"/>
      <c r="N112" s="169"/>
      <c r="O112" s="170"/>
      <c r="P112" s="171"/>
      <c r="Q112" s="172"/>
      <c r="R112" s="173"/>
      <c r="S112" s="174"/>
      <c r="T112" s="175"/>
      <c r="U112" s="176"/>
      <c r="V112" s="209"/>
      <c r="Y112" s="210"/>
      <c r="Z112" s="210"/>
      <c r="AA112" s="179"/>
      <c r="AB112" s="15">
        <f t="shared" si="57"/>
        <v>0</v>
      </c>
      <c r="AC112" s="13"/>
      <c r="AD112" s="99">
        <f t="shared" si="58"/>
        <v>0</v>
      </c>
      <c r="AE112" s="56">
        <f t="shared" si="59"/>
        <v>0</v>
      </c>
      <c r="AF112" s="56">
        <f t="shared" si="60"/>
        <v>0</v>
      </c>
      <c r="AG112" s="56">
        <f t="shared" si="61"/>
        <v>0</v>
      </c>
      <c r="AH112" s="56">
        <f t="shared" si="62"/>
        <v>0</v>
      </c>
      <c r="AI112" s="13"/>
      <c r="AJ112" s="56">
        <f t="shared" si="67"/>
        <v>0</v>
      </c>
      <c r="AK112" s="47">
        <f t="shared" si="68"/>
        <v>0</v>
      </c>
      <c r="AL112" s="56">
        <f t="shared" si="69"/>
        <v>0</v>
      </c>
      <c r="AM112" s="56">
        <f t="shared" si="70"/>
        <v>0</v>
      </c>
      <c r="AN112" s="211">
        <f t="shared" si="71"/>
        <v>0</v>
      </c>
    </row>
    <row r="113" spans="1:40" x14ac:dyDescent="0.35">
      <c r="A113" s="21" t="str">
        <f ca="1">crewedtanks[[#This Row],[Column1]]&amp;"_"&amp;OFFSET(crewedtanks[[#This Row],[Column3]],0,setup!C$9)&amp;""</f>
        <v>0_0</v>
      </c>
      <c r="B113" s="293">
        <f t="shared" si="46"/>
        <v>0</v>
      </c>
      <c r="C113" s="59"/>
      <c r="D113" s="199">
        <f t="shared" si="63"/>
        <v>0</v>
      </c>
      <c r="E113" s="180">
        <f t="shared" si="64"/>
        <v>0</v>
      </c>
      <c r="F113" s="199">
        <f t="shared" si="65"/>
        <v>0</v>
      </c>
      <c r="G113" s="199">
        <f t="shared" si="66"/>
        <v>0</v>
      </c>
      <c r="I113" s="59"/>
      <c r="J113" s="59"/>
      <c r="K113" s="159"/>
      <c r="L113" s="156"/>
      <c r="M113" s="156"/>
      <c r="N113" s="169"/>
      <c r="O113" s="170"/>
      <c r="P113" s="171"/>
      <c r="Q113" s="172"/>
      <c r="R113" s="173"/>
      <c r="S113" s="174"/>
      <c r="T113" s="175"/>
      <c r="U113" s="176"/>
      <c r="V113" s="209"/>
      <c r="Y113" s="210"/>
      <c r="Z113" s="210"/>
      <c r="AA113" s="179"/>
      <c r="AB113" s="15">
        <f t="shared" si="57"/>
        <v>0</v>
      </c>
      <c r="AC113" s="13"/>
      <c r="AD113" s="99">
        <f t="shared" si="58"/>
        <v>0</v>
      </c>
      <c r="AE113" s="56">
        <f t="shared" si="59"/>
        <v>0</v>
      </c>
      <c r="AF113" s="56">
        <f t="shared" si="60"/>
        <v>0</v>
      </c>
      <c r="AG113" s="56">
        <f t="shared" si="61"/>
        <v>0</v>
      </c>
      <c r="AH113" s="56">
        <f t="shared" si="62"/>
        <v>0</v>
      </c>
      <c r="AI113" s="13"/>
      <c r="AJ113" s="56">
        <f t="shared" si="67"/>
        <v>0</v>
      </c>
      <c r="AK113" s="47">
        <f t="shared" si="68"/>
        <v>0</v>
      </c>
      <c r="AL113" s="56">
        <f t="shared" si="69"/>
        <v>0</v>
      </c>
      <c r="AM113" s="56">
        <f t="shared" si="70"/>
        <v>0</v>
      </c>
      <c r="AN113" s="211">
        <f t="shared" si="71"/>
        <v>0</v>
      </c>
    </row>
    <row r="114" spans="1:40" x14ac:dyDescent="0.35">
      <c r="A114" s="21" t="str">
        <f ca="1">crewedtanks[[#This Row],[Column1]]&amp;"_"&amp;OFFSET(crewedtanks[[#This Row],[Column3]],0,setup!C$9)&amp;""</f>
        <v>0_0</v>
      </c>
      <c r="B114" s="293">
        <f t="shared" si="46"/>
        <v>0</v>
      </c>
      <c r="C114" s="59"/>
      <c r="D114" s="199">
        <f t="shared" si="63"/>
        <v>0</v>
      </c>
      <c r="E114" s="180">
        <f t="shared" si="64"/>
        <v>0</v>
      </c>
      <c r="F114" s="199">
        <f t="shared" si="65"/>
        <v>0</v>
      </c>
      <c r="G114" s="199">
        <f t="shared" si="66"/>
        <v>0</v>
      </c>
      <c r="I114" s="59"/>
      <c r="J114" s="59"/>
      <c r="K114" s="159"/>
      <c r="L114" s="156"/>
      <c r="M114" s="156"/>
      <c r="N114" s="169"/>
      <c r="O114" s="170"/>
      <c r="P114" s="171"/>
      <c r="Q114" s="172"/>
      <c r="R114" s="173"/>
      <c r="S114" s="174"/>
      <c r="T114" s="175"/>
      <c r="U114" s="176"/>
      <c r="V114" s="209"/>
      <c r="Y114" s="210"/>
      <c r="Z114" s="210"/>
      <c r="AA114" s="179"/>
      <c r="AB114" s="15">
        <f t="shared" si="57"/>
        <v>0</v>
      </c>
      <c r="AC114" s="13"/>
      <c r="AD114" s="99">
        <f t="shared" si="58"/>
        <v>0</v>
      </c>
      <c r="AE114" s="56">
        <f t="shared" si="59"/>
        <v>0</v>
      </c>
      <c r="AF114" s="56">
        <f t="shared" si="60"/>
        <v>0</v>
      </c>
      <c r="AG114" s="56">
        <f t="shared" si="61"/>
        <v>0</v>
      </c>
      <c r="AH114" s="56">
        <f t="shared" si="62"/>
        <v>0</v>
      </c>
      <c r="AI114" s="13"/>
      <c r="AJ114" s="56">
        <f t="shared" si="67"/>
        <v>0</v>
      </c>
      <c r="AK114" s="47">
        <f t="shared" si="68"/>
        <v>0</v>
      </c>
      <c r="AL114" s="56">
        <f t="shared" si="69"/>
        <v>0</v>
      </c>
      <c r="AM114" s="56">
        <f t="shared" si="70"/>
        <v>0</v>
      </c>
      <c r="AN114" s="211">
        <f t="shared" si="71"/>
        <v>0</v>
      </c>
    </row>
    <row r="115" spans="1:40" x14ac:dyDescent="0.35">
      <c r="A115" s="21" t="str">
        <f ca="1">crewedtanks[[#This Row],[Column1]]&amp;"_"&amp;OFFSET(crewedtanks[[#This Row],[Column3]],0,setup!C$9)&amp;""</f>
        <v>0_0</v>
      </c>
      <c r="B115" s="293">
        <f t="shared" si="46"/>
        <v>0</v>
      </c>
      <c r="C115" s="59"/>
      <c r="D115" s="199">
        <f t="shared" si="63"/>
        <v>0</v>
      </c>
      <c r="E115" s="180">
        <f t="shared" si="64"/>
        <v>0</v>
      </c>
      <c r="F115" s="199">
        <f t="shared" si="65"/>
        <v>0</v>
      </c>
      <c r="G115" s="199">
        <f t="shared" si="66"/>
        <v>0</v>
      </c>
      <c r="I115" s="59"/>
      <c r="J115" s="59"/>
      <c r="K115" s="159"/>
      <c r="L115" s="156"/>
      <c r="M115" s="156"/>
      <c r="N115" s="169"/>
      <c r="O115" s="170"/>
      <c r="P115" s="171"/>
      <c r="Q115" s="172"/>
      <c r="R115" s="173"/>
      <c r="S115" s="174"/>
      <c r="T115" s="175"/>
      <c r="U115" s="176"/>
      <c r="V115" s="209"/>
      <c r="Y115" s="210"/>
      <c r="Z115" s="210"/>
      <c r="AA115" s="179"/>
      <c r="AB115" s="15">
        <f t="shared" si="57"/>
        <v>0</v>
      </c>
      <c r="AC115" s="13"/>
      <c r="AD115" s="99">
        <f t="shared" si="58"/>
        <v>0</v>
      </c>
      <c r="AE115" s="56">
        <f t="shared" si="59"/>
        <v>0</v>
      </c>
      <c r="AF115" s="56">
        <f t="shared" si="60"/>
        <v>0</v>
      </c>
      <c r="AG115" s="56">
        <f t="shared" si="61"/>
        <v>0</v>
      </c>
      <c r="AH115" s="56">
        <f t="shared" si="62"/>
        <v>0</v>
      </c>
      <c r="AI115" s="13"/>
      <c r="AJ115" s="56">
        <f t="shared" si="67"/>
        <v>0</v>
      </c>
      <c r="AK115" s="47">
        <f t="shared" si="68"/>
        <v>0</v>
      </c>
      <c r="AL115" s="56">
        <f t="shared" si="69"/>
        <v>0</v>
      </c>
      <c r="AM115" s="56">
        <f t="shared" si="70"/>
        <v>0</v>
      </c>
      <c r="AN115" s="211">
        <f t="shared" si="71"/>
        <v>0</v>
      </c>
    </row>
    <row r="116" spans="1:40" x14ac:dyDescent="0.35">
      <c r="A116" s="21" t="str">
        <f ca="1">crewedtanks[[#This Row],[Column1]]&amp;"_"&amp;OFFSET(crewedtanks[[#This Row],[Column3]],0,setup!C$9)&amp;""</f>
        <v>0_0</v>
      </c>
      <c r="B116" s="293">
        <f t="shared" si="46"/>
        <v>0</v>
      </c>
      <c r="C116" s="59"/>
      <c r="D116" s="199">
        <f t="shared" si="63"/>
        <v>0</v>
      </c>
      <c r="E116" s="180">
        <f t="shared" si="64"/>
        <v>0</v>
      </c>
      <c r="F116" s="199">
        <f t="shared" si="65"/>
        <v>0</v>
      </c>
      <c r="G116" s="199">
        <f t="shared" si="66"/>
        <v>0</v>
      </c>
      <c r="I116" s="59"/>
      <c r="J116" s="59"/>
      <c r="K116" s="159"/>
      <c r="L116" s="156"/>
      <c r="M116" s="156"/>
      <c r="N116" s="169"/>
      <c r="O116" s="170"/>
      <c r="P116" s="171"/>
      <c r="Q116" s="172"/>
      <c r="R116" s="173"/>
      <c r="S116" s="174"/>
      <c r="T116" s="175"/>
      <c r="U116" s="176"/>
      <c r="V116" s="209"/>
      <c r="Y116" s="210"/>
      <c r="Z116" s="210"/>
      <c r="AA116" s="179"/>
      <c r="AB116" s="15">
        <f t="shared" si="57"/>
        <v>0</v>
      </c>
      <c r="AC116" s="13"/>
      <c r="AD116" s="99">
        <f t="shared" si="58"/>
        <v>0</v>
      </c>
      <c r="AE116" s="56">
        <f t="shared" si="59"/>
        <v>0</v>
      </c>
      <c r="AF116" s="56">
        <f t="shared" si="60"/>
        <v>0</v>
      </c>
      <c r="AG116" s="56">
        <f t="shared" si="61"/>
        <v>0</v>
      </c>
      <c r="AH116" s="56">
        <f t="shared" si="62"/>
        <v>0</v>
      </c>
      <c r="AI116" s="13"/>
      <c r="AJ116" s="56">
        <f t="shared" si="67"/>
        <v>0</v>
      </c>
      <c r="AK116" s="47">
        <f t="shared" si="68"/>
        <v>0</v>
      </c>
      <c r="AL116" s="56">
        <f t="shared" si="69"/>
        <v>0</v>
      </c>
      <c r="AM116" s="56">
        <f t="shared" si="70"/>
        <v>0</v>
      </c>
      <c r="AN116" s="211">
        <f t="shared" si="71"/>
        <v>0</v>
      </c>
    </row>
    <row r="117" spans="1:40" x14ac:dyDescent="0.35">
      <c r="A117" s="21" t="str">
        <f ca="1">crewedtanks[[#This Row],[Column1]]&amp;"_"&amp;OFFSET(crewedtanks[[#This Row],[Column3]],0,setup!C$9)&amp;""</f>
        <v>0_0</v>
      </c>
      <c r="B117" s="293">
        <f t="shared" si="46"/>
        <v>0</v>
      </c>
      <c r="C117" s="59"/>
      <c r="D117" s="199">
        <f t="shared" si="63"/>
        <v>0</v>
      </c>
      <c r="E117" s="180">
        <f t="shared" si="64"/>
        <v>0</v>
      </c>
      <c r="F117" s="199">
        <f t="shared" si="65"/>
        <v>0</v>
      </c>
      <c r="G117" s="199">
        <f t="shared" si="66"/>
        <v>0</v>
      </c>
      <c r="I117" s="59"/>
      <c r="J117" s="59"/>
      <c r="K117" s="159"/>
      <c r="L117" s="156"/>
      <c r="M117" s="156"/>
      <c r="N117" s="169"/>
      <c r="O117" s="170"/>
      <c r="P117" s="171"/>
      <c r="Q117" s="172"/>
      <c r="R117" s="173"/>
      <c r="S117" s="174"/>
      <c r="T117" s="175"/>
      <c r="U117" s="176"/>
      <c r="V117" s="209"/>
      <c r="Y117" s="210"/>
      <c r="Z117" s="210"/>
      <c r="AA117" s="179"/>
      <c r="AB117" s="15">
        <f t="shared" si="57"/>
        <v>0</v>
      </c>
      <c r="AC117" s="13"/>
      <c r="AD117" s="99">
        <f t="shared" si="58"/>
        <v>0</v>
      </c>
      <c r="AE117" s="56">
        <f t="shared" si="59"/>
        <v>0</v>
      </c>
      <c r="AF117" s="56">
        <f t="shared" si="60"/>
        <v>0</v>
      </c>
      <c r="AG117" s="56">
        <f t="shared" si="61"/>
        <v>0</v>
      </c>
      <c r="AH117" s="56">
        <f t="shared" si="62"/>
        <v>0</v>
      </c>
      <c r="AI117" s="13"/>
      <c r="AJ117" s="56">
        <f t="shared" si="67"/>
        <v>0</v>
      </c>
      <c r="AK117" s="47">
        <f t="shared" si="68"/>
        <v>0</v>
      </c>
      <c r="AL117" s="56">
        <f t="shared" si="69"/>
        <v>0</v>
      </c>
      <c r="AM117" s="56">
        <f t="shared" si="70"/>
        <v>0</v>
      </c>
      <c r="AN117" s="211">
        <f t="shared" si="71"/>
        <v>0</v>
      </c>
    </row>
    <row r="118" spans="1:40" x14ac:dyDescent="0.35">
      <c r="A118" s="21" t="str">
        <f ca="1">crewedtanks[[#This Row],[Column1]]&amp;"_"&amp;OFFSET(crewedtanks[[#This Row],[Column3]],0,setup!C$9)&amp;""</f>
        <v>0_0</v>
      </c>
      <c r="B118" s="293">
        <f t="shared" si="46"/>
        <v>0</v>
      </c>
      <c r="C118" s="59"/>
      <c r="D118" s="199">
        <f t="shared" si="63"/>
        <v>0</v>
      </c>
      <c r="E118" s="180">
        <f t="shared" si="64"/>
        <v>0</v>
      </c>
      <c r="F118" s="199">
        <f t="shared" si="65"/>
        <v>0</v>
      </c>
      <c r="G118" s="199">
        <f t="shared" si="66"/>
        <v>0</v>
      </c>
      <c r="I118" s="59"/>
      <c r="J118" s="59"/>
      <c r="K118" s="159"/>
      <c r="L118" s="156"/>
      <c r="M118" s="156"/>
      <c r="N118" s="169"/>
      <c r="O118" s="170"/>
      <c r="P118" s="171"/>
      <c r="Q118" s="172"/>
      <c r="R118" s="173"/>
      <c r="S118" s="174"/>
      <c r="T118" s="175"/>
      <c r="U118" s="176"/>
      <c r="V118" s="209"/>
      <c r="Y118" s="210"/>
      <c r="Z118" s="210"/>
      <c r="AA118" s="179"/>
      <c r="AB118" s="15">
        <f t="shared" si="57"/>
        <v>0</v>
      </c>
      <c r="AC118" s="13"/>
      <c r="AD118" s="99">
        <f t="shared" si="58"/>
        <v>0</v>
      </c>
      <c r="AE118" s="56">
        <f t="shared" si="59"/>
        <v>0</v>
      </c>
      <c r="AF118" s="56">
        <f t="shared" si="60"/>
        <v>0</v>
      </c>
      <c r="AG118" s="56">
        <f t="shared" si="61"/>
        <v>0</v>
      </c>
      <c r="AH118" s="56">
        <f t="shared" si="62"/>
        <v>0</v>
      </c>
      <c r="AI118" s="13"/>
      <c r="AJ118" s="56">
        <f t="shared" si="67"/>
        <v>0</v>
      </c>
      <c r="AK118" s="47">
        <f t="shared" si="68"/>
        <v>0</v>
      </c>
      <c r="AL118" s="56">
        <f t="shared" si="69"/>
        <v>0</v>
      </c>
      <c r="AM118" s="56">
        <f t="shared" si="70"/>
        <v>0</v>
      </c>
      <c r="AN118" s="211">
        <f t="shared" si="71"/>
        <v>0</v>
      </c>
    </row>
    <row r="119" spans="1:40" x14ac:dyDescent="0.35">
      <c r="A119" s="21" t="str">
        <f ca="1">crewedtanks[[#This Row],[Column1]]&amp;"_"&amp;OFFSET(crewedtanks[[#This Row],[Column3]],0,setup!C$9)&amp;""</f>
        <v>0_0</v>
      </c>
      <c r="B119" s="293">
        <f t="shared" si="46"/>
        <v>0</v>
      </c>
      <c r="C119" s="59"/>
      <c r="D119" s="199">
        <f t="shared" si="63"/>
        <v>0</v>
      </c>
      <c r="E119" s="180">
        <f t="shared" si="64"/>
        <v>0</v>
      </c>
      <c r="F119" s="199">
        <f t="shared" si="65"/>
        <v>0</v>
      </c>
      <c r="G119" s="199">
        <f t="shared" si="66"/>
        <v>0</v>
      </c>
      <c r="I119" s="59"/>
      <c r="J119" s="59"/>
      <c r="K119" s="159"/>
      <c r="L119" s="156"/>
      <c r="M119" s="156"/>
      <c r="N119" s="169"/>
      <c r="O119" s="170"/>
      <c r="P119" s="171"/>
      <c r="Q119" s="172"/>
      <c r="R119" s="173"/>
      <c r="S119" s="174"/>
      <c r="T119" s="175"/>
      <c r="U119" s="176"/>
      <c r="V119" s="209"/>
      <c r="Y119" s="210"/>
      <c r="Z119" s="210"/>
      <c r="AA119" s="179"/>
      <c r="AB119" s="15">
        <f t="shared" si="57"/>
        <v>0</v>
      </c>
      <c r="AC119" s="13"/>
      <c r="AD119" s="99">
        <f t="shared" si="58"/>
        <v>0</v>
      </c>
      <c r="AE119" s="56">
        <f t="shared" si="59"/>
        <v>0</v>
      </c>
      <c r="AF119" s="56">
        <f t="shared" si="60"/>
        <v>0</v>
      </c>
      <c r="AG119" s="56">
        <f t="shared" si="61"/>
        <v>0</v>
      </c>
      <c r="AH119" s="56">
        <f t="shared" si="62"/>
        <v>0</v>
      </c>
      <c r="AI119" s="13"/>
      <c r="AJ119" s="56">
        <f t="shared" si="67"/>
        <v>0</v>
      </c>
      <c r="AK119" s="47">
        <f t="shared" si="68"/>
        <v>0</v>
      </c>
      <c r="AL119" s="56">
        <f t="shared" si="69"/>
        <v>0</v>
      </c>
      <c r="AM119" s="56">
        <f t="shared" si="70"/>
        <v>0</v>
      </c>
      <c r="AN119" s="211">
        <f t="shared" si="71"/>
        <v>0</v>
      </c>
    </row>
    <row r="120" spans="1:40" x14ac:dyDescent="0.35">
      <c r="A120" s="21" t="str">
        <f ca="1">crewedtanks[[#This Row],[Column1]]&amp;"_"&amp;OFFSET(crewedtanks[[#This Row],[Column3]],0,setup!C$9)&amp;""</f>
        <v>0_0</v>
      </c>
      <c r="B120" s="293">
        <f t="shared" si="46"/>
        <v>0</v>
      </c>
      <c r="C120" s="59"/>
      <c r="D120" s="199">
        <f t="shared" si="63"/>
        <v>0</v>
      </c>
      <c r="E120" s="180">
        <f t="shared" si="64"/>
        <v>0</v>
      </c>
      <c r="F120" s="199">
        <f t="shared" si="65"/>
        <v>0</v>
      </c>
      <c r="G120" s="199">
        <f t="shared" si="66"/>
        <v>0</v>
      </c>
      <c r="I120" s="59"/>
      <c r="J120" s="59"/>
      <c r="K120" s="159"/>
      <c r="L120" s="156"/>
      <c r="M120" s="156"/>
      <c r="N120" s="169"/>
      <c r="O120" s="170"/>
      <c r="P120" s="171"/>
      <c r="Q120" s="172"/>
      <c r="R120" s="173"/>
      <c r="S120" s="174"/>
      <c r="T120" s="175"/>
      <c r="U120" s="176"/>
      <c r="V120" s="209"/>
      <c r="Y120" s="210"/>
      <c r="Z120" s="210"/>
      <c r="AA120" s="179"/>
      <c r="AB120" s="15">
        <f t="shared" si="57"/>
        <v>0</v>
      </c>
      <c r="AC120" s="13"/>
      <c r="AD120" s="99">
        <f t="shared" si="58"/>
        <v>0</v>
      </c>
      <c r="AE120" s="56">
        <f t="shared" si="59"/>
        <v>0</v>
      </c>
      <c r="AF120" s="56">
        <f t="shared" si="60"/>
        <v>0</v>
      </c>
      <c r="AG120" s="56">
        <f t="shared" si="61"/>
        <v>0</v>
      </c>
      <c r="AH120" s="56">
        <f t="shared" si="62"/>
        <v>0</v>
      </c>
      <c r="AI120" s="13"/>
      <c r="AJ120" s="56">
        <f t="shared" si="67"/>
        <v>0</v>
      </c>
      <c r="AK120" s="47">
        <f t="shared" si="68"/>
        <v>0</v>
      </c>
      <c r="AL120" s="56">
        <f t="shared" si="69"/>
        <v>0</v>
      </c>
      <c r="AM120" s="56">
        <f t="shared" si="70"/>
        <v>0</v>
      </c>
      <c r="AN120" s="211">
        <f t="shared" si="71"/>
        <v>0</v>
      </c>
    </row>
    <row r="121" spans="1:40" ht="15" thickBot="1" x14ac:dyDescent="0.4">
      <c r="A121" s="207">
        <v>0</v>
      </c>
      <c r="B121" s="293">
        <f t="shared" si="46"/>
        <v>0</v>
      </c>
      <c r="C121" s="59">
        <v>0</v>
      </c>
      <c r="D121" s="199">
        <v>0</v>
      </c>
      <c r="E121" s="208">
        <v>0</v>
      </c>
      <c r="F121" s="199">
        <v>0</v>
      </c>
      <c r="G121" s="199">
        <v>0</v>
      </c>
      <c r="I121" s="59"/>
      <c r="J121" s="59"/>
      <c r="K121" s="159"/>
      <c r="L121" s="156"/>
      <c r="M121" s="156"/>
      <c r="N121" s="169"/>
      <c r="O121" s="170"/>
      <c r="P121" s="171"/>
      <c r="Q121" s="172"/>
      <c r="R121" s="173"/>
      <c r="S121" s="174"/>
      <c r="T121" s="175"/>
      <c r="U121" s="176"/>
      <c r="V121" s="209"/>
      <c r="Y121" s="210"/>
      <c r="Z121" s="210"/>
      <c r="AA121" s="179"/>
      <c r="AB121" s="15">
        <f t="shared" si="57"/>
        <v>0</v>
      </c>
      <c r="AC121" s="77"/>
      <c r="AD121" s="103">
        <f t="shared" si="58"/>
        <v>0</v>
      </c>
      <c r="AE121" s="104">
        <f t="shared" si="59"/>
        <v>0</v>
      </c>
      <c r="AF121" s="104">
        <f t="shared" si="60"/>
        <v>0</v>
      </c>
      <c r="AG121" s="104">
        <f t="shared" si="61"/>
        <v>0</v>
      </c>
      <c r="AH121" s="104">
        <f t="shared" si="62"/>
        <v>0</v>
      </c>
      <c r="AI121" s="77"/>
      <c r="AJ121" s="104">
        <f t="shared" si="67"/>
        <v>0</v>
      </c>
      <c r="AK121" s="49">
        <f t="shared" si="68"/>
        <v>0</v>
      </c>
      <c r="AL121" s="104">
        <f t="shared" si="69"/>
        <v>0</v>
      </c>
      <c r="AM121" s="104">
        <f t="shared" si="70"/>
        <v>0</v>
      </c>
      <c r="AN121" s="212">
        <f t="shared" si="71"/>
        <v>0</v>
      </c>
    </row>
    <row r="122" spans="1:40" x14ac:dyDescent="0.35">
      <c r="B122" s="18" t="s">
        <v>85</v>
      </c>
      <c r="C122" s="13"/>
      <c r="D122" s="51"/>
      <c r="E122" s="150"/>
      <c r="F122" s="52"/>
      <c r="G122" s="51"/>
      <c r="I122" s="59"/>
      <c r="J122" s="59"/>
      <c r="K122" s="59"/>
      <c r="N122" s="119"/>
      <c r="O122" s="119"/>
      <c r="P122" s="59"/>
      <c r="Q122" s="59"/>
      <c r="R122" s="59"/>
      <c r="S122" s="59"/>
      <c r="T122" s="119"/>
    </row>
    <row r="123" spans="1:40" x14ac:dyDescent="0.35">
      <c r="A123" t="s">
        <v>121</v>
      </c>
      <c r="B123" t="s">
        <v>15</v>
      </c>
      <c r="C123" t="s">
        <v>16</v>
      </c>
      <c r="D123" t="s">
        <v>30</v>
      </c>
      <c r="E123" t="s">
        <v>31</v>
      </c>
      <c r="F123" t="s">
        <v>32</v>
      </c>
      <c r="G123" t="s">
        <v>33</v>
      </c>
      <c r="I123" s="59"/>
      <c r="J123" s="59"/>
      <c r="K123" s="59"/>
      <c r="N123" s="119"/>
      <c r="O123" s="119"/>
      <c r="P123" s="59"/>
      <c r="Q123" s="59"/>
      <c r="R123" s="59"/>
      <c r="S123" s="59"/>
      <c r="T123" s="119"/>
    </row>
    <row r="124" spans="1:40" x14ac:dyDescent="0.35">
      <c r="A124" s="21" t="str">
        <f ca="1">upgrades[[#This Row],[Column1]]&amp;"_"&amp;OFFSET(upgrades[[#This Row],[Column7]],0,setup!C$9)&amp;""</f>
        <v>SPOTTER_30</v>
      </c>
      <c r="B124" t="s">
        <v>137</v>
      </c>
      <c r="C124" t="s">
        <v>137</v>
      </c>
      <c r="D124" s="17">
        <f>D26</f>
        <v>25</v>
      </c>
      <c r="E124" s="17">
        <f>E26</f>
        <v>30</v>
      </c>
      <c r="F124" s="17">
        <f>F26</f>
        <v>36</v>
      </c>
      <c r="G124" s="17">
        <f>G26</f>
        <v>41</v>
      </c>
      <c r="I124" s="59"/>
      <c r="J124" s="59"/>
      <c r="K124" s="59"/>
      <c r="N124" s="119"/>
      <c r="O124" s="119"/>
      <c r="P124" s="59"/>
      <c r="Q124" s="59"/>
      <c r="R124" s="59"/>
      <c r="S124" s="59"/>
      <c r="T124" s="119"/>
    </row>
    <row r="125" spans="1:40" x14ac:dyDescent="0.35">
      <c r="A125" s="21">
        <v>0</v>
      </c>
      <c r="B125">
        <v>0</v>
      </c>
      <c r="D125">
        <v>0</v>
      </c>
      <c r="E125">
        <v>0</v>
      </c>
      <c r="F125">
        <v>0</v>
      </c>
      <c r="G125">
        <v>0</v>
      </c>
      <c r="I125" s="59"/>
      <c r="J125" s="59"/>
      <c r="K125" s="59"/>
      <c r="N125" s="119"/>
      <c r="O125" s="119"/>
      <c r="P125" s="59"/>
      <c r="Q125" s="59"/>
      <c r="R125" s="59"/>
      <c r="S125" s="59"/>
      <c r="T125" s="119"/>
    </row>
    <row r="126" spans="1:40" x14ac:dyDescent="0.35">
      <c r="A126" s="50"/>
      <c r="I126" s="59"/>
      <c r="J126" s="59"/>
      <c r="K126" s="59"/>
      <c r="N126" s="119"/>
      <c r="O126" s="119"/>
      <c r="P126" s="59"/>
      <c r="Q126" s="59"/>
      <c r="R126" s="59"/>
      <c r="S126" s="59"/>
      <c r="T126" s="119"/>
    </row>
    <row r="127" spans="1:40" x14ac:dyDescent="0.35">
      <c r="B127" s="1" t="s">
        <v>367</v>
      </c>
      <c r="I127" s="59"/>
      <c r="J127" s="59"/>
      <c r="K127" s="59"/>
      <c r="N127" s="119"/>
      <c r="O127" s="119"/>
      <c r="P127" s="59"/>
      <c r="Q127" s="59"/>
      <c r="R127" s="59"/>
      <c r="S127" s="59"/>
      <c r="T127" s="119"/>
    </row>
    <row r="128" spans="1:40" x14ac:dyDescent="0.35">
      <c r="A128" s="16" t="s">
        <v>20</v>
      </c>
      <c r="B128" t="s">
        <v>15</v>
      </c>
      <c r="C128" s="15" t="s">
        <v>16</v>
      </c>
      <c r="D128" s="16" t="s">
        <v>30</v>
      </c>
      <c r="E128" s="16" t="s">
        <v>31</v>
      </c>
      <c r="F128" s="16" t="s">
        <v>32</v>
      </c>
      <c r="G128" s="16" t="s">
        <v>33</v>
      </c>
      <c r="H128" s="16" t="s">
        <v>42</v>
      </c>
      <c r="I128" s="59"/>
      <c r="J128" s="59"/>
      <c r="K128" s="59"/>
      <c r="N128" s="119"/>
      <c r="O128" s="119"/>
      <c r="P128" s="59"/>
      <c r="Q128" s="59"/>
      <c r="R128" s="59"/>
      <c r="S128" s="59"/>
      <c r="T128" s="119"/>
    </row>
    <row r="129" spans="1:20" x14ac:dyDescent="0.35">
      <c r="A129" t="str">
        <f ca="1">assetsquads[[#This Row],[Column1]]&amp;"_"&amp;OFFSET(assetsquads[[#This Row],[Column3]],0,setup!C$9)&amp;""</f>
        <v>mortar squad_209</v>
      </c>
      <c r="B129" s="3" t="s">
        <v>138</v>
      </c>
      <c r="C129" s="4" t="s">
        <v>2</v>
      </c>
      <c r="D129" s="58">
        <f>$D$27+$D$21+($D$22*3)+($H$129*10)</f>
        <v>187</v>
      </c>
      <c r="E129" s="58">
        <f>E$27+E$21+(E$22*3)+($H129*10)</f>
        <v>209</v>
      </c>
      <c r="F129" s="58">
        <f>F$27+F$21+(F$22*3)+($H129*10)</f>
        <v>234</v>
      </c>
      <c r="G129" s="58">
        <f>G$27+G$21+(G$22*3)+($H129*10)</f>
        <v>257</v>
      </c>
      <c r="H129" s="57">
        <v>4</v>
      </c>
      <c r="I129" s="59"/>
      <c r="J129" s="59"/>
      <c r="K129" s="59"/>
      <c r="N129" s="119"/>
      <c r="O129" s="119"/>
      <c r="P129" s="59"/>
      <c r="Q129" s="59"/>
      <c r="R129" s="59"/>
      <c r="S129" s="59"/>
      <c r="T129" s="119"/>
    </row>
    <row r="130" spans="1:20" x14ac:dyDescent="0.35">
      <c r="A130" t="str">
        <f ca="1">assetsquads[[#This Row],[Column1]]&amp;"_"&amp;OFFSET(assetsquads[[#This Row],[Column3]],0,setup!C$9)&amp;""</f>
        <v>mortar x2 squad_261</v>
      </c>
      <c r="B130" s="5" t="s">
        <v>139</v>
      </c>
      <c r="C130" s="6" t="s">
        <v>3</v>
      </c>
      <c r="D130" s="58">
        <f>$D$27+($D$21*2)+($D$22*2)+($H$130*10)</f>
        <v>235</v>
      </c>
      <c r="E130" s="58">
        <f>$E$27+($E$21*2)+($E$22*2)+($H$130*10)</f>
        <v>261</v>
      </c>
      <c r="F130" s="58">
        <f>$F$27+($F$21*2)+($F$22*2)+($H$130*10)</f>
        <v>288</v>
      </c>
      <c r="G130" s="58">
        <f>$G$27+($G$21*2)+($G$22*2)+($H$130*10)</f>
        <v>315</v>
      </c>
      <c r="H130" s="57">
        <v>4</v>
      </c>
      <c r="I130" s="59"/>
      <c r="J130" s="59"/>
      <c r="K130" s="59"/>
      <c r="N130" s="119"/>
      <c r="O130" s="119"/>
      <c r="P130" s="59"/>
      <c r="Q130" s="59"/>
      <c r="R130" s="59"/>
      <c r="S130" s="59"/>
      <c r="T130" s="119"/>
    </row>
    <row r="131" spans="1:20" x14ac:dyDescent="0.35">
      <c r="A131" t="str">
        <f ca="1">assetsquads[[#This Row],[Column1]]&amp;"_"&amp;OFFSET(assetsquads[[#This Row],[Column3]],0,setup!C$9)&amp;""</f>
        <v>MPAT squad_179</v>
      </c>
      <c r="B131" s="3" t="s">
        <v>140</v>
      </c>
      <c r="C131" s="4" t="s">
        <v>68</v>
      </c>
      <c r="D131" s="58">
        <f>$D$27+($D$19*1)+($D$22*3)+($H$131*10)</f>
        <v>161</v>
      </c>
      <c r="E131" s="58">
        <f>$E$27+($E$19*1)+($E$22*3)+($H$131*10)</f>
        <v>179</v>
      </c>
      <c r="F131" s="58">
        <f>$F$27+($F$19*1)+($F$22*3)+($H$131*10)</f>
        <v>202</v>
      </c>
      <c r="G131" s="58">
        <f>$G$27+($G$19*1)+($G$22*3)+($H$131*10)</f>
        <v>221</v>
      </c>
      <c r="H131" s="57">
        <v>4</v>
      </c>
      <c r="I131" s="59"/>
      <c r="J131" s="59"/>
      <c r="K131" s="59"/>
      <c r="L131" s="119"/>
      <c r="M131" s="119"/>
      <c r="N131" s="119"/>
      <c r="O131" s="119"/>
      <c r="P131" s="59"/>
      <c r="Q131" s="59"/>
      <c r="R131" s="59"/>
      <c r="S131" s="59"/>
      <c r="T131" s="119"/>
    </row>
    <row r="132" spans="1:20" x14ac:dyDescent="0.35">
      <c r="A132" t="str">
        <f ca="1">assetsquads[[#This Row],[Column1]]&amp;"_"&amp;OFFSET(assetsquads[[#This Row],[Column3]],0,setup!C$9)&amp;""</f>
        <v>MPAT x2 squad_201</v>
      </c>
      <c r="B132" s="5" t="s">
        <v>141</v>
      </c>
      <c r="C132" s="6" t="s">
        <v>67</v>
      </c>
      <c r="D132" s="58">
        <f>$D$27+($D$19*2)+($D$22*2)+($H$132*10)</f>
        <v>183</v>
      </c>
      <c r="E132" s="58">
        <f>$E$27+($E$19*2)+($E$22*2)+($H$132*10)</f>
        <v>201</v>
      </c>
      <c r="F132" s="58">
        <f>$F$27+($F$19*2)+($F$22*2)+($H$132*10)</f>
        <v>224</v>
      </c>
      <c r="G132" s="58">
        <f>$G$27+($G$19*2)+($G$22*2)+($H$132*10)</f>
        <v>243</v>
      </c>
      <c r="H132" s="57">
        <v>4</v>
      </c>
      <c r="I132" s="59"/>
      <c r="J132" s="59"/>
      <c r="K132" s="59"/>
      <c r="L132" s="119"/>
      <c r="M132" s="119"/>
      <c r="N132" s="119"/>
      <c r="O132" s="119"/>
      <c r="P132" s="59"/>
      <c r="Q132" s="59"/>
      <c r="R132" s="59"/>
      <c r="S132" s="59"/>
      <c r="T132" s="119"/>
    </row>
    <row r="133" spans="1:20" x14ac:dyDescent="0.35">
      <c r="A133" t="str">
        <f ca="1">assetsquads[[#This Row],[Column1]]&amp;"_"&amp;OFFSET(assetsquads[[#This Row],[Column3]],0,setup!C$9)&amp;""</f>
        <v>MMG squad_186</v>
      </c>
      <c r="B133" s="3" t="s">
        <v>142</v>
      </c>
      <c r="C133" s="4" t="s">
        <v>4</v>
      </c>
      <c r="D133" s="58">
        <f>$D$27+($D$16)+($D$22*3)+($H$133*10)</f>
        <v>160</v>
      </c>
      <c r="E133" s="58">
        <f>$E$27+($E$16)+($E$22*3)+($H$133*10)</f>
        <v>186</v>
      </c>
      <c r="F133" s="58">
        <f>$F$27+($F$16)+($F$22*3)+($H$133*10)</f>
        <v>215</v>
      </c>
      <c r="G133" s="58">
        <f>$G$27+($G$16)+($G$22*3)+($H$133*10)</f>
        <v>240</v>
      </c>
      <c r="H133" s="57">
        <v>4</v>
      </c>
      <c r="I133" s="59"/>
      <c r="J133" s="59"/>
      <c r="K133" s="59"/>
      <c r="L133" s="119"/>
      <c r="M133" s="119"/>
      <c r="N133" s="119"/>
      <c r="O133" s="119"/>
      <c r="P133" s="59"/>
      <c r="Q133" s="59"/>
      <c r="R133" s="59"/>
      <c r="S133" s="59"/>
      <c r="T133" s="119"/>
    </row>
    <row r="134" spans="1:20" x14ac:dyDescent="0.35">
      <c r="A134" t="str">
        <f ca="1">assetsquads[[#This Row],[Column1]]&amp;"_"&amp;OFFSET(assetsquads[[#This Row],[Column3]],0,setup!C$9)&amp;""</f>
        <v>MMG x2 squad_215</v>
      </c>
      <c r="B134" s="5" t="s">
        <v>143</v>
      </c>
      <c r="C134" s="6" t="s">
        <v>6</v>
      </c>
      <c r="D134" s="58">
        <f>$D$27+($D$16*2)+($D$22*2)+($H$134*10)</f>
        <v>181</v>
      </c>
      <c r="E134" s="58">
        <f>$E$27+($E$16*2)+($E$22*2)+($H$134*10)</f>
        <v>215</v>
      </c>
      <c r="F134" s="58">
        <f>$F$27+($F$16*2)+($F$22*2)+($H$134*10)</f>
        <v>250</v>
      </c>
      <c r="G134" s="58">
        <f>$G$27+($G$16*2)+($G$22*2)+($H$134*10)</f>
        <v>281</v>
      </c>
      <c r="H134" s="57">
        <v>4</v>
      </c>
      <c r="I134" s="59"/>
      <c r="J134" s="59"/>
      <c r="K134" s="59"/>
      <c r="L134" s="119"/>
      <c r="M134" s="119"/>
      <c r="N134" s="119"/>
      <c r="O134" s="119"/>
      <c r="P134" s="59"/>
      <c r="Q134" s="59"/>
      <c r="R134" s="59"/>
      <c r="S134" s="59"/>
      <c r="T134" s="119"/>
    </row>
    <row r="135" spans="1:20" x14ac:dyDescent="0.35">
      <c r="A135" t="str">
        <f ca="1">assetsquads[[#This Row],[Column1]]&amp;"_"&amp;OFFSET(assetsquads[[#This Row],[Column3]],0,setup!C$9)&amp;""</f>
        <v>MMG, HMG squad_222</v>
      </c>
      <c r="B135" s="3" t="s">
        <v>144</v>
      </c>
      <c r="C135" s="4" t="s">
        <v>7</v>
      </c>
      <c r="D135" s="58">
        <f>$D$27+($D$16*1)+($D$17*1)+($D$22*2)+($H$135*10)</f>
        <v>187</v>
      </c>
      <c r="E135" s="58">
        <f>$E$27+($E$16*1)+($E$17*1)+($E$22*2)+($H$135*10)</f>
        <v>222</v>
      </c>
      <c r="F135" s="58">
        <f>$F$27+($F$16*1)+($F$17*1)+($F$22*2)+($H$135*10)</f>
        <v>259</v>
      </c>
      <c r="G135" s="58">
        <f>$G$27+($G$16*1)+($G$17*1)+($G$22*2)+($H$135*10)</f>
        <v>292</v>
      </c>
      <c r="H135" s="57">
        <v>4</v>
      </c>
      <c r="I135" s="59"/>
      <c r="J135" s="59"/>
      <c r="K135" s="59"/>
      <c r="L135" s="119"/>
      <c r="M135" s="119"/>
      <c r="N135" s="119"/>
      <c r="O135" s="119"/>
      <c r="P135" s="59"/>
      <c r="Q135" s="59"/>
      <c r="R135" s="59"/>
      <c r="S135" s="59"/>
      <c r="T135" s="119"/>
    </row>
    <row r="136" spans="1:20" x14ac:dyDescent="0.35">
      <c r="A136" t="str">
        <f ca="1">assetsquads[[#This Row],[Column1]]&amp;"_"&amp;OFFSET(assetsquads[[#This Row],[Column3]],0,setup!C$9)&amp;""</f>
        <v>HMG_193</v>
      </c>
      <c r="B136" s="5" t="s">
        <v>145</v>
      </c>
      <c r="C136" s="6" t="s">
        <v>5</v>
      </c>
      <c r="D136" s="58">
        <f>$D$27+($D$17*1)+($D$22*3)+($H$136*10)</f>
        <v>166</v>
      </c>
      <c r="E136" s="58">
        <f>$E$27+($E$17*1)+($E$22*3)+($H$136*10)</f>
        <v>193</v>
      </c>
      <c r="F136" s="58">
        <f>$F$27+($F$17*1)+($F$22*3)+($H$136*10)</f>
        <v>224</v>
      </c>
      <c r="G136" s="58">
        <f>$G$27+($G$17*1)+($G$22*3)+($H$136*10)</f>
        <v>251</v>
      </c>
      <c r="H136" s="57">
        <v>4</v>
      </c>
      <c r="I136" s="59"/>
      <c r="J136" s="59"/>
      <c r="K136" s="59"/>
      <c r="L136" s="119"/>
      <c r="M136" s="119"/>
      <c r="N136" s="119"/>
      <c r="O136" s="119"/>
      <c r="P136" s="59"/>
      <c r="Q136" s="59"/>
      <c r="R136" s="59"/>
      <c r="S136" s="59"/>
      <c r="T136" s="119"/>
    </row>
    <row r="137" spans="1:20" x14ac:dyDescent="0.35">
      <c r="A137" t="str">
        <f ca="1">assetsquads[[#This Row],[Column1]]&amp;"_"&amp;OFFSET(assetsquads[[#This Row],[Column3]],0,setup!C$9)&amp;""</f>
        <v>HMG x2 squad_229</v>
      </c>
      <c r="B137" s="3" t="s">
        <v>146</v>
      </c>
      <c r="C137" s="4" t="s">
        <v>8</v>
      </c>
      <c r="D137" s="58">
        <f>$D$27+($D$17*2)+($D$22*2)+($H$137*10)</f>
        <v>193</v>
      </c>
      <c r="E137" s="58">
        <f>$E$27+($E$17*2)+($E$22*2)+($H$137*10)</f>
        <v>229</v>
      </c>
      <c r="F137" s="58">
        <f>$F$27+($F$17*2)+($F$22*2)+($H$137*10)</f>
        <v>268</v>
      </c>
      <c r="G137" s="58">
        <f>$G$27+($G$17*2)+($G$22*2)+($H$137*10)</f>
        <v>303</v>
      </c>
      <c r="H137" s="57">
        <v>4</v>
      </c>
      <c r="I137" s="59"/>
      <c r="J137" s="59"/>
      <c r="K137" s="59"/>
      <c r="L137" s="119"/>
      <c r="M137" s="119"/>
      <c r="N137" s="119"/>
      <c r="O137" s="119"/>
      <c r="P137" s="59"/>
      <c r="Q137" s="59"/>
      <c r="R137" s="59"/>
      <c r="S137" s="59"/>
      <c r="T137" s="119"/>
    </row>
    <row r="138" spans="1:20" x14ac:dyDescent="0.35">
      <c r="A138" t="str">
        <f ca="1">assetsquads[[#This Row],[Column1]]&amp;"_"&amp;OFFSET(assetsquads[[#This Row],[Column3]],0,setup!C$9)&amp;""</f>
        <v>flame squad_196</v>
      </c>
      <c r="B138" s="3" t="s">
        <v>147</v>
      </c>
      <c r="C138" s="4" t="s">
        <v>54</v>
      </c>
      <c r="D138" s="58">
        <f>$D$27+($D$20*1)+($D$22*3)+($H$138*10)</f>
        <v>174</v>
      </c>
      <c r="E138" s="58">
        <f>$E$27+($E$20*1)+($E$22*3)+($H$138*10)</f>
        <v>196</v>
      </c>
      <c r="F138" s="58">
        <f>$F$27+($F$20*1)+($F$22*3)+($H$138*10)</f>
        <v>221</v>
      </c>
      <c r="G138" s="58">
        <f>$G$27+($G$20*1)+($G$22*3)+($H$138*10)</f>
        <v>244</v>
      </c>
      <c r="H138" s="57">
        <v>4</v>
      </c>
      <c r="I138" s="59"/>
      <c r="J138" s="59"/>
      <c r="K138" s="59"/>
      <c r="L138" s="119"/>
      <c r="M138" s="119"/>
      <c r="N138" s="119"/>
      <c r="O138" s="119"/>
      <c r="P138" s="59"/>
      <c r="Q138" s="59"/>
      <c r="R138" s="59"/>
      <c r="S138" s="59"/>
      <c r="T138" s="119"/>
    </row>
    <row r="139" spans="1:20" x14ac:dyDescent="0.35">
      <c r="A139" t="str">
        <f ca="1">assetsquads[[#This Row],[Column1]]&amp;"_"&amp;OFFSET(assetsquads[[#This Row],[Column3]],0,setup!C$9)&amp;""</f>
        <v>FLAME x2 squad_235</v>
      </c>
      <c r="B139" s="5" t="s">
        <v>148</v>
      </c>
      <c r="C139" s="6" t="s">
        <v>9</v>
      </c>
      <c r="D139" s="58">
        <f>$D$27+($D$20*2)+($D$22*2)+($H$139*10)</f>
        <v>209</v>
      </c>
      <c r="E139" s="58">
        <f>$E$27+($E$20*2)+($E$22*2)+($H$139*10)</f>
        <v>235</v>
      </c>
      <c r="F139" s="58">
        <f>$F$27+($F$20*2)+($F$22*2)+($H$139*10)</f>
        <v>262</v>
      </c>
      <c r="G139" s="58">
        <f>$G$27+($G$20*2)+($G$22*2)+($H$139*10)</f>
        <v>289</v>
      </c>
      <c r="H139" s="57">
        <v>4</v>
      </c>
      <c r="I139" s="59"/>
      <c r="J139" s="59"/>
      <c r="K139" s="59"/>
      <c r="L139" s="119"/>
      <c r="M139" s="119"/>
      <c r="N139" s="119"/>
      <c r="O139" s="119"/>
      <c r="P139" s="59"/>
      <c r="Q139" s="59"/>
      <c r="R139" s="59"/>
      <c r="S139" s="59"/>
      <c r="T139" s="119"/>
    </row>
    <row r="140" spans="1:20" x14ac:dyDescent="0.35">
      <c r="A140" t="str">
        <f ca="1">assetsquads[[#This Row],[Column1]]&amp;"_"&amp;OFFSET(assetsquads[[#This Row],[Column3]],0,setup!C$9)&amp;""</f>
        <v>marksman squad_184</v>
      </c>
      <c r="B140" s="3" t="s">
        <v>149</v>
      </c>
      <c r="C140" s="4" t="s">
        <v>63</v>
      </c>
      <c r="D140" s="58">
        <f>$D$27+($D$18*1)+($D$22*3)+($H$140*10)</f>
        <v>166</v>
      </c>
      <c r="E140" s="58">
        <f>$E$27+($E$18*1)+($E$22*3)+($H$140*10)</f>
        <v>184</v>
      </c>
      <c r="F140" s="58">
        <f>$F$27+($F$18*1)+($F$22*3)+($H$140*10)</f>
        <v>207</v>
      </c>
      <c r="G140" s="58">
        <f>$G$27+($G$18*1)+($G$22*3)+($H$140*10)</f>
        <v>224</v>
      </c>
      <c r="H140" s="57">
        <v>4</v>
      </c>
      <c r="I140" s="59"/>
      <c r="J140" s="59"/>
      <c r="K140" s="59"/>
      <c r="L140" s="119"/>
      <c r="M140" s="119"/>
      <c r="N140" s="119"/>
      <c r="O140" s="119"/>
      <c r="P140" s="59"/>
      <c r="Q140" s="59"/>
      <c r="R140" s="59"/>
      <c r="S140" s="59"/>
      <c r="T140" s="119"/>
    </row>
    <row r="141" spans="1:20" x14ac:dyDescent="0.35">
      <c r="A141" t="str">
        <f ca="1">assetsquads[[#This Row],[Column1]]&amp;"_"&amp;OFFSET(assetsquads[[#This Row],[Column3]],0,setup!C$9)&amp;""</f>
        <v>marksman x2 squad_211</v>
      </c>
      <c r="B141" s="5" t="s">
        <v>150</v>
      </c>
      <c r="C141" s="6" t="s">
        <v>64</v>
      </c>
      <c r="D141" s="58">
        <f>$D$27+($D$18*2)+($D$22*2)+($H$141*10)</f>
        <v>193</v>
      </c>
      <c r="E141" s="58">
        <f>$E$27+($E$18*2)+($E$22*2)+($H$141*10)</f>
        <v>211</v>
      </c>
      <c r="F141" s="58">
        <f>$F$27+($F$18*2)+($F$22*2)+($H$141*10)</f>
        <v>234</v>
      </c>
      <c r="G141" s="58">
        <f>$G$27+($G$18*2)+($G$22*2)+($H$141*10)</f>
        <v>249</v>
      </c>
      <c r="H141" s="57">
        <v>4</v>
      </c>
      <c r="I141" s="59"/>
      <c r="J141" s="59"/>
      <c r="K141" s="59"/>
      <c r="L141" s="119"/>
      <c r="M141" s="119"/>
      <c r="N141" s="119"/>
      <c r="O141" s="119"/>
      <c r="P141" s="59"/>
      <c r="Q141" s="59"/>
      <c r="R141" s="59"/>
      <c r="S141" s="59"/>
      <c r="T141" s="119"/>
    </row>
    <row r="142" spans="1:20" x14ac:dyDescent="0.35">
      <c r="A142" s="197">
        <v>0</v>
      </c>
      <c r="B142" s="32">
        <v>0</v>
      </c>
      <c r="C142" s="12">
        <v>0</v>
      </c>
      <c r="D142" s="33">
        <v>0</v>
      </c>
      <c r="E142" s="33">
        <v>0</v>
      </c>
      <c r="F142" s="33">
        <v>0</v>
      </c>
      <c r="G142" s="33">
        <v>0</v>
      </c>
      <c r="I142" s="59"/>
      <c r="J142" s="59"/>
      <c r="K142" s="59"/>
      <c r="L142" s="119"/>
      <c r="M142" s="119"/>
      <c r="N142" s="119"/>
      <c r="O142" s="119"/>
      <c r="P142" s="59"/>
      <c r="Q142" s="59"/>
      <c r="R142" s="59"/>
      <c r="S142" s="59"/>
      <c r="T142" s="119"/>
    </row>
    <row r="143" spans="1:20" x14ac:dyDescent="0.35">
      <c r="I143" s="59"/>
      <c r="J143" s="59"/>
      <c r="K143" s="59"/>
      <c r="L143" s="119"/>
      <c r="M143" s="119"/>
      <c r="N143" s="119"/>
      <c r="O143" s="119"/>
      <c r="P143" s="59"/>
      <c r="Q143" s="59"/>
      <c r="R143" s="59"/>
      <c r="S143" s="59"/>
      <c r="T143" s="119"/>
    </row>
    <row r="144" spans="1:20" x14ac:dyDescent="0.35">
      <c r="B144" s="1"/>
      <c r="I144" s="59"/>
      <c r="J144" s="59"/>
      <c r="K144" s="59"/>
      <c r="L144" s="119"/>
      <c r="M144" s="119"/>
      <c r="N144" s="119"/>
      <c r="O144" s="119"/>
      <c r="P144" s="59"/>
      <c r="Q144" s="59"/>
      <c r="R144" s="59"/>
      <c r="S144" s="59"/>
      <c r="T144" s="119"/>
    </row>
    <row r="145" spans="9:24" x14ac:dyDescent="0.35">
      <c r="I145" s="59"/>
      <c r="J145" s="59"/>
      <c r="K145" s="59"/>
      <c r="L145" s="119"/>
      <c r="M145" s="119"/>
      <c r="N145" s="119"/>
      <c r="O145" s="119"/>
      <c r="P145" s="59"/>
      <c r="Q145" s="59"/>
      <c r="R145" s="59"/>
      <c r="S145" s="59"/>
      <c r="T145" s="119"/>
    </row>
    <row r="146" spans="9:24" x14ac:dyDescent="0.35">
      <c r="I146" s="59"/>
      <c r="J146" s="59"/>
      <c r="K146" s="59"/>
      <c r="L146" s="119"/>
      <c r="M146" s="119"/>
      <c r="N146" s="119"/>
      <c r="O146" s="119"/>
      <c r="P146" s="59"/>
      <c r="Q146" s="59"/>
      <c r="R146" s="59"/>
      <c r="S146" s="59"/>
      <c r="T146" s="119"/>
    </row>
    <row r="147" spans="9:24" x14ac:dyDescent="0.35">
      <c r="I147" s="59"/>
      <c r="J147" s="59"/>
      <c r="K147" s="59"/>
      <c r="L147" s="119"/>
      <c r="M147" s="119"/>
      <c r="N147" s="119"/>
      <c r="O147" s="119"/>
      <c r="P147" s="59"/>
      <c r="Q147" s="59"/>
      <c r="R147" s="59"/>
      <c r="S147" s="59"/>
      <c r="T147" s="119"/>
    </row>
    <row r="148" spans="9:24" x14ac:dyDescent="0.35">
      <c r="I148" s="59"/>
      <c r="J148" s="59"/>
      <c r="K148" s="59"/>
      <c r="L148" s="119"/>
      <c r="M148" s="119"/>
      <c r="N148" s="119"/>
      <c r="O148" s="119"/>
      <c r="P148" s="59"/>
      <c r="Q148" s="59"/>
      <c r="R148" s="59"/>
      <c r="S148" s="59"/>
      <c r="T148" s="119"/>
    </row>
    <row r="149" spans="9:24" x14ac:dyDescent="0.35">
      <c r="I149" s="59"/>
      <c r="J149" s="59"/>
      <c r="K149" s="59"/>
      <c r="L149" s="119"/>
      <c r="M149" s="119"/>
      <c r="N149" s="119"/>
      <c r="O149" s="119"/>
      <c r="P149" s="59"/>
      <c r="Q149" s="59"/>
      <c r="R149" s="59"/>
      <c r="S149" s="59"/>
      <c r="T149" s="119"/>
    </row>
    <row r="150" spans="9:24" x14ac:dyDescent="0.35">
      <c r="I150" s="59"/>
      <c r="J150" s="59"/>
      <c r="K150" s="59"/>
      <c r="L150" s="119"/>
      <c r="M150" s="119"/>
      <c r="N150" s="119"/>
      <c r="O150" s="119"/>
      <c r="P150" s="59"/>
      <c r="Q150" s="59"/>
      <c r="R150" s="59"/>
      <c r="S150" s="59"/>
      <c r="T150" s="119"/>
    </row>
    <row r="151" spans="9:24" x14ac:dyDescent="0.35">
      <c r="I151" s="59"/>
      <c r="J151" s="59"/>
      <c r="K151" s="59"/>
      <c r="L151" s="119"/>
      <c r="M151" s="119"/>
      <c r="N151" s="119"/>
      <c r="O151" s="119"/>
      <c r="P151" s="59"/>
      <c r="Q151" s="59"/>
      <c r="R151" s="59"/>
      <c r="S151" s="59"/>
      <c r="T151" s="119"/>
    </row>
    <row r="152" spans="9:24" x14ac:dyDescent="0.35">
      <c r="I152" s="59"/>
      <c r="J152" s="59"/>
      <c r="K152" s="59"/>
      <c r="L152" s="119"/>
      <c r="M152" s="119"/>
      <c r="N152" s="119"/>
      <c r="O152" s="119"/>
      <c r="P152" s="59"/>
      <c r="Q152" s="59"/>
      <c r="R152" s="59"/>
      <c r="S152" s="59"/>
      <c r="T152" s="119"/>
    </row>
    <row r="153" spans="9:24" x14ac:dyDescent="0.35">
      <c r="I153" s="59"/>
      <c r="J153" s="59"/>
      <c r="K153" s="59"/>
      <c r="L153" s="119"/>
      <c r="M153" s="119"/>
      <c r="N153" s="119"/>
      <c r="O153" s="119"/>
      <c r="P153" s="59"/>
      <c r="Q153" s="59"/>
      <c r="R153" s="59"/>
      <c r="S153" s="59"/>
      <c r="T153" s="119"/>
    </row>
    <row r="154" spans="9:24" x14ac:dyDescent="0.35">
      <c r="I154" s="59"/>
      <c r="J154" s="59"/>
      <c r="K154" s="59"/>
      <c r="L154" s="119"/>
      <c r="M154" s="119"/>
      <c r="N154" s="119"/>
      <c r="O154" s="119"/>
      <c r="P154" s="59"/>
      <c r="Q154" s="59"/>
      <c r="R154" s="59"/>
      <c r="S154" s="59"/>
      <c r="T154" s="119"/>
    </row>
    <row r="155" spans="9:24" x14ac:dyDescent="0.35">
      <c r="I155" s="59"/>
      <c r="J155" s="59"/>
      <c r="K155" s="59"/>
      <c r="L155" s="119"/>
      <c r="M155" s="119"/>
      <c r="N155" s="119"/>
      <c r="O155" s="119"/>
      <c r="P155" s="59"/>
      <c r="Q155" s="59"/>
      <c r="R155" s="59"/>
      <c r="S155" s="59"/>
      <c r="T155" s="119"/>
    </row>
    <row r="156" spans="9:24" x14ac:dyDescent="0.35">
      <c r="I156" s="59"/>
      <c r="J156" s="59"/>
      <c r="K156" s="59"/>
      <c r="L156" s="119"/>
      <c r="M156" s="119"/>
      <c r="N156" s="119"/>
      <c r="O156" s="119"/>
      <c r="P156" s="59"/>
      <c r="Q156" s="59"/>
      <c r="R156" s="59"/>
      <c r="S156" s="59"/>
      <c r="T156" s="119"/>
    </row>
    <row r="157" spans="9:24" x14ac:dyDescent="0.35">
      <c r="I157" s="59"/>
      <c r="J157" s="59"/>
      <c r="K157" s="59"/>
      <c r="L157" s="119"/>
      <c r="M157" s="119"/>
      <c r="N157" s="119"/>
      <c r="O157" s="119"/>
      <c r="P157" s="59"/>
      <c r="Q157" s="59"/>
      <c r="R157" s="59"/>
      <c r="S157" s="59"/>
      <c r="T157" s="119"/>
    </row>
    <row r="158" spans="9:24" x14ac:dyDescent="0.35">
      <c r="I158" s="59"/>
      <c r="J158" s="59"/>
      <c r="K158" s="59"/>
      <c r="L158" s="119"/>
      <c r="M158" s="119"/>
      <c r="N158" s="119"/>
      <c r="O158" s="119"/>
      <c r="P158" s="59"/>
      <c r="Q158" s="59"/>
      <c r="R158" s="59"/>
      <c r="S158" s="59"/>
      <c r="T158" s="119"/>
    </row>
    <row r="159" spans="9:24" x14ac:dyDescent="0.35">
      <c r="I159" s="59"/>
      <c r="J159" s="59"/>
      <c r="K159" s="59"/>
      <c r="L159" s="59"/>
      <c r="M159" s="119"/>
      <c r="N159" s="119"/>
      <c r="O159" s="119"/>
      <c r="P159" s="119"/>
      <c r="Q159" s="59"/>
      <c r="R159" s="59"/>
      <c r="S159" s="59"/>
      <c r="T159" s="59"/>
      <c r="U159" s="119"/>
      <c r="V159" s="117"/>
      <c r="W159"/>
      <c r="X159" s="117"/>
    </row>
    <row r="160" spans="9:24" x14ac:dyDescent="0.35">
      <c r="I160" s="59"/>
      <c r="J160" s="59"/>
      <c r="K160" s="59"/>
      <c r="L160" s="59"/>
      <c r="M160" s="119"/>
      <c r="N160" s="119"/>
      <c r="O160" s="119"/>
      <c r="P160" s="119"/>
      <c r="Q160" s="59"/>
      <c r="R160" s="59"/>
      <c r="S160" s="59"/>
      <c r="T160" s="59"/>
      <c r="U160" s="119"/>
      <c r="V160" s="117"/>
      <c r="W160"/>
      <c r="X160" s="117"/>
    </row>
    <row r="161" spans="1:27" x14ac:dyDescent="0.35">
      <c r="I161" s="59"/>
      <c r="J161" s="59"/>
      <c r="K161" s="59"/>
      <c r="L161" s="59"/>
      <c r="M161" s="119"/>
      <c r="N161" s="119"/>
      <c r="O161" s="119"/>
      <c r="P161" s="119"/>
      <c r="Q161" s="59"/>
      <c r="R161" s="59"/>
      <c r="S161" s="59"/>
      <c r="T161" s="59"/>
      <c r="U161" s="119"/>
      <c r="V161" s="117"/>
      <c r="W161"/>
      <c r="X161" s="117"/>
    </row>
    <row r="162" spans="1:27" x14ac:dyDescent="0.35">
      <c r="I162" s="59"/>
      <c r="J162" s="59"/>
      <c r="K162" s="59"/>
      <c r="L162" s="59"/>
      <c r="M162" s="119"/>
      <c r="N162" s="119"/>
      <c r="O162" s="119"/>
      <c r="P162" s="119"/>
      <c r="Q162" s="59"/>
      <c r="R162" s="59"/>
      <c r="S162" s="59"/>
      <c r="T162" s="59"/>
      <c r="U162" s="119"/>
      <c r="V162" s="117"/>
      <c r="W162"/>
      <c r="X162" s="117"/>
    </row>
    <row r="163" spans="1:27" x14ac:dyDescent="0.35">
      <c r="I163" s="59"/>
      <c r="J163" s="59"/>
      <c r="K163" s="59"/>
      <c r="L163" s="119"/>
      <c r="M163" s="119"/>
      <c r="N163" s="119"/>
      <c r="O163" s="119"/>
      <c r="P163" s="59"/>
      <c r="Q163" s="59"/>
      <c r="R163" s="59"/>
      <c r="S163" s="59"/>
      <c r="T163" s="119"/>
    </row>
    <row r="164" spans="1:27" ht="15" thickBot="1" x14ac:dyDescent="0.4">
      <c r="B164" s="1" t="s">
        <v>377</v>
      </c>
      <c r="I164" s="59"/>
      <c r="J164" s="59"/>
      <c r="K164" s="67" t="s">
        <v>366</v>
      </c>
      <c r="L164" s="119"/>
      <c r="M164" s="119"/>
      <c r="N164" s="119"/>
      <c r="O164" s="119"/>
      <c r="P164" s="59"/>
      <c r="Q164" s="59"/>
      <c r="R164" s="59"/>
      <c r="S164" s="59"/>
      <c r="T164" s="119"/>
    </row>
    <row r="165" spans="1:27" x14ac:dyDescent="0.35">
      <c r="A165" t="s">
        <v>66</v>
      </c>
      <c r="B165" t="s">
        <v>15</v>
      </c>
      <c r="C165" t="s">
        <v>1</v>
      </c>
      <c r="D165" t="s">
        <v>30</v>
      </c>
      <c r="E165" t="s">
        <v>31</v>
      </c>
      <c r="F165" t="s">
        <v>32</v>
      </c>
      <c r="G165" t="s">
        <v>33</v>
      </c>
      <c r="H165" s="59"/>
      <c r="I165" s="59"/>
      <c r="J165" s="59"/>
      <c r="K165" s="185" t="s">
        <v>336</v>
      </c>
      <c r="L165" s="186" t="s">
        <v>151</v>
      </c>
      <c r="M165" s="186" t="s">
        <v>337</v>
      </c>
      <c r="N165" s="186" t="s">
        <v>153</v>
      </c>
      <c r="O165" s="187" t="s">
        <v>152</v>
      </c>
      <c r="P165" s="187" t="s">
        <v>338</v>
      </c>
      <c r="Q165" s="187" t="s">
        <v>340</v>
      </c>
      <c r="R165" s="187" t="s">
        <v>339</v>
      </c>
      <c r="S165" s="186" t="s">
        <v>30</v>
      </c>
      <c r="T165" s="188" t="s">
        <v>31</v>
      </c>
      <c r="U165" s="98" t="s">
        <v>32</v>
      </c>
      <c r="V165" s="188" t="s">
        <v>33</v>
      </c>
      <c r="W165" s="187"/>
      <c r="X165" s="186" t="s">
        <v>30</v>
      </c>
      <c r="Y165" s="188" t="s">
        <v>31</v>
      </c>
      <c r="Z165" s="98" t="s">
        <v>32</v>
      </c>
      <c r="AA165" s="189" t="s">
        <v>33</v>
      </c>
    </row>
    <row r="166" spans="1:27" x14ac:dyDescent="0.35">
      <c r="A166" t="str">
        <f ca="1">feildgunassets[[#This Row],[Column1]]&amp;"_"&amp;OFFSET(feildgunassets[[#This Row],[Column6]],0,setup!C$9)&amp;""</f>
        <v>20mm flak 30/38_48</v>
      </c>
      <c r="B166" s="50" t="str">
        <f>feildgunscalculator[[#This Row],[gun]]</f>
        <v>20mm flak 30/38</v>
      </c>
      <c r="C166" t="s">
        <v>502</v>
      </c>
      <c r="D166">
        <f>feildgunscalculator[[#This Row],[conscript]]</f>
        <v>38</v>
      </c>
      <c r="E166">
        <f>feildgunscalculator[[#This Row],[trained]]</f>
        <v>48</v>
      </c>
      <c r="F166">
        <f>feildgunscalculator[[#This Row],[experianced]]</f>
        <v>58</v>
      </c>
      <c r="G166">
        <f>feildgunscalculator[[#This Row],[veteran]]</f>
        <v>67</v>
      </c>
      <c r="H166" s="59"/>
      <c r="I166" s="59"/>
      <c r="J166" s="59"/>
      <c r="K166" s="190" t="s">
        <v>346</v>
      </c>
      <c r="L166" s="119">
        <v>3</v>
      </c>
      <c r="M166" s="119">
        <v>25</v>
      </c>
      <c r="N166" s="119">
        <v>2</v>
      </c>
      <c r="O166" s="119">
        <v>28</v>
      </c>
      <c r="P166" s="119" t="s">
        <v>650</v>
      </c>
      <c r="Q166" s="119" t="s">
        <v>342</v>
      </c>
      <c r="R166" s="119">
        <f>(feildgunscalculator[[#This Row],[AP]]*feildgunscalculator[[#This Row],[AP]]+feildgunscalculator[[#This Row],[AUTO]])+(feildgunscalculator[[#This Row],[range]]/2)</f>
        <v>48</v>
      </c>
      <c r="S166" s="119">
        <f>MROUND(X166,1)</f>
        <v>38</v>
      </c>
      <c r="T166" s="119">
        <f>MROUND(Y166,1)</f>
        <v>48</v>
      </c>
      <c r="U166" s="119">
        <f>MROUND(Z166,1)</f>
        <v>58</v>
      </c>
      <c r="V166" s="119">
        <f>MROUND(AA166,1)</f>
        <v>67</v>
      </c>
      <c r="W166" s="119"/>
      <c r="X166" s="119">
        <f>Y166*0.8</f>
        <v>38.400000000000006</v>
      </c>
      <c r="Y166" s="51">
        <f>R166</f>
        <v>48</v>
      </c>
      <c r="Z166" s="51">
        <f>Y166*1.2</f>
        <v>57.599999999999994</v>
      </c>
      <c r="AA166" s="191">
        <f>Y166*1.4</f>
        <v>67.199999999999989</v>
      </c>
    </row>
    <row r="167" spans="1:27" x14ac:dyDescent="0.35">
      <c r="A167" t="str">
        <f ca="1">feildgunassets[[#This Row],[Column1]]&amp;"_"&amp;OFFSET(feildgunassets[[#This Row],[Column6]],0,setup!C$9)&amp;""</f>
        <v>37mm pak 36_32</v>
      </c>
      <c r="B167" s="50" t="str">
        <f>feildgunscalculator[[#This Row],[gun]]</f>
        <v>37mm pak 36</v>
      </c>
      <c r="C167" t="s">
        <v>502</v>
      </c>
      <c r="D167">
        <f>feildgunscalculator[[#This Row],[conscript]]</f>
        <v>26</v>
      </c>
      <c r="E167">
        <f>feildgunscalculator[[#This Row],[trained]]</f>
        <v>32</v>
      </c>
      <c r="F167">
        <f>feildgunscalculator[[#This Row],[experianced]]</f>
        <v>38</v>
      </c>
      <c r="G167">
        <f>feildgunscalculator[[#This Row],[veteran]]</f>
        <v>45</v>
      </c>
      <c r="H167" s="59"/>
      <c r="K167" s="192" t="s">
        <v>341</v>
      </c>
      <c r="L167" s="119">
        <v>4</v>
      </c>
      <c r="M167" s="119">
        <v>1</v>
      </c>
      <c r="N167" s="119">
        <v>2</v>
      </c>
      <c r="O167" s="119">
        <v>30</v>
      </c>
      <c r="P167" s="119" t="s">
        <v>650</v>
      </c>
      <c r="Q167" s="119" t="s">
        <v>342</v>
      </c>
      <c r="R167" s="119">
        <f>(feildgunscalculator[[#This Row],[AP]]*feildgunscalculator[[#This Row],[AP]]+feildgunscalculator[[#This Row],[AUTO]])+(feildgunscalculator[[#This Row],[range]]/2)</f>
        <v>32</v>
      </c>
      <c r="S167" s="119">
        <f t="shared" ref="S167:S178" si="72">MROUND(X167,1)</f>
        <v>26</v>
      </c>
      <c r="T167" s="119">
        <f t="shared" ref="T167:T178" si="73">MROUND(Y167,1)</f>
        <v>32</v>
      </c>
      <c r="U167" s="119">
        <f t="shared" ref="U167:U178" si="74">MROUND(Z167,1)</f>
        <v>38</v>
      </c>
      <c r="V167" s="119">
        <f t="shared" ref="V167:V170" si="75">MROUND(AA167,1)</f>
        <v>45</v>
      </c>
      <c r="W167" s="119"/>
      <c r="X167" s="119">
        <f t="shared" ref="X167:X192" si="76">Y167*0.8</f>
        <v>25.6</v>
      </c>
      <c r="Y167" s="51">
        <f t="shared" ref="Y167:Y179" si="77">R167</f>
        <v>32</v>
      </c>
      <c r="Z167" s="51">
        <f t="shared" ref="Z167:Z192" si="78">Y167*1.2</f>
        <v>38.4</v>
      </c>
      <c r="AA167" s="191">
        <f t="shared" ref="AA167:AA192" si="79">Y167*1.4</f>
        <v>44.8</v>
      </c>
    </row>
    <row r="168" spans="1:27" x14ac:dyDescent="0.35">
      <c r="A168" t="str">
        <f ca="1">feildgunassets[[#This Row],[Column1]]&amp;"_"&amp;OFFSET(feildgunassets[[#This Row],[Column6]],0,setup!C$9)&amp;""</f>
        <v>50mm pak 38_42</v>
      </c>
      <c r="B168" s="50" t="str">
        <f>feildgunscalculator[[#This Row],[gun]]</f>
        <v>50mm pak 38</v>
      </c>
      <c r="C168" t="s">
        <v>502</v>
      </c>
      <c r="D168">
        <f>feildgunscalculator[[#This Row],[conscript]]</f>
        <v>34</v>
      </c>
      <c r="E168">
        <f>feildgunscalculator[[#This Row],[trained]]</f>
        <v>42</v>
      </c>
      <c r="F168">
        <f>feildgunscalculator[[#This Row],[experianced]]</f>
        <v>50</v>
      </c>
      <c r="G168">
        <f>feildgunscalculator[[#This Row],[veteran]]</f>
        <v>59</v>
      </c>
      <c r="H168" s="59"/>
      <c r="K168" s="192" t="s">
        <v>343</v>
      </c>
      <c r="L168" s="119">
        <v>5</v>
      </c>
      <c r="M168" s="119">
        <v>1</v>
      </c>
      <c r="N168" s="119">
        <v>3</v>
      </c>
      <c r="O168" s="119">
        <v>32</v>
      </c>
      <c r="P168" s="119" t="s">
        <v>650</v>
      </c>
      <c r="Q168" s="119" t="s">
        <v>342</v>
      </c>
      <c r="R168" s="119">
        <f>(feildgunscalculator[[#This Row],[AP]]*feildgunscalculator[[#This Row],[AP]]+feildgunscalculator[[#This Row],[AUTO]])+(feildgunscalculator[[#This Row],[range]]/2)</f>
        <v>42</v>
      </c>
      <c r="S168" s="119">
        <f t="shared" si="72"/>
        <v>34</v>
      </c>
      <c r="T168" s="119">
        <f t="shared" si="73"/>
        <v>42</v>
      </c>
      <c r="U168" s="119">
        <f t="shared" si="74"/>
        <v>50</v>
      </c>
      <c r="V168" s="119">
        <f t="shared" si="75"/>
        <v>59</v>
      </c>
      <c r="W168" s="119"/>
      <c r="X168" s="119">
        <f t="shared" si="76"/>
        <v>33.6</v>
      </c>
      <c r="Y168" s="51">
        <f t="shared" si="77"/>
        <v>42</v>
      </c>
      <c r="Z168" s="51">
        <f t="shared" si="78"/>
        <v>50.4</v>
      </c>
      <c r="AA168" s="191">
        <f t="shared" si="79"/>
        <v>58.8</v>
      </c>
    </row>
    <row r="169" spans="1:27" x14ac:dyDescent="0.35">
      <c r="A169" t="str">
        <f ca="1">feildgunassets[[#This Row],[Column1]]&amp;"_"&amp;OFFSET(feildgunassets[[#This Row],[Column6]],0,setup!C$9)&amp;""</f>
        <v>75mm pak 40_102</v>
      </c>
      <c r="B169" s="50" t="str">
        <f>feildgunscalculator[[#This Row],[gun]]</f>
        <v>75mm pak 40</v>
      </c>
      <c r="C169" t="s">
        <v>502</v>
      </c>
      <c r="D169">
        <f>feildgunscalculator[[#This Row],[conscript]]</f>
        <v>82</v>
      </c>
      <c r="E169">
        <f>feildgunscalculator[[#This Row],[trained]]</f>
        <v>102</v>
      </c>
      <c r="F169">
        <f>feildgunscalculator[[#This Row],[experianced]]</f>
        <v>122</v>
      </c>
      <c r="G169">
        <f>feildgunscalculator[[#This Row],[veteran]]</f>
        <v>143</v>
      </c>
      <c r="H169" s="59"/>
      <c r="K169" s="192" t="s">
        <v>344</v>
      </c>
      <c r="L169" s="119">
        <v>9</v>
      </c>
      <c r="M169" s="119">
        <v>1</v>
      </c>
      <c r="N169" s="119">
        <v>4</v>
      </c>
      <c r="O169" s="119">
        <v>40</v>
      </c>
      <c r="P169" s="119" t="s">
        <v>651</v>
      </c>
      <c r="Q169" s="119" t="s">
        <v>342</v>
      </c>
      <c r="R169" s="119">
        <f>(feildgunscalculator[[#This Row],[AP]]*feildgunscalculator[[#This Row],[AP]]+feildgunscalculator[[#This Row],[AUTO]])+(feildgunscalculator[[#This Row],[range]]/2)</f>
        <v>102</v>
      </c>
      <c r="S169" s="119">
        <f t="shared" si="72"/>
        <v>82</v>
      </c>
      <c r="T169" s="119">
        <f t="shared" si="73"/>
        <v>102</v>
      </c>
      <c r="U169" s="119">
        <f t="shared" si="74"/>
        <v>122</v>
      </c>
      <c r="V169" s="119">
        <f t="shared" si="75"/>
        <v>143</v>
      </c>
      <c r="W169" s="119"/>
      <c r="X169" s="119">
        <f t="shared" si="76"/>
        <v>81.600000000000009</v>
      </c>
      <c r="Y169" s="51">
        <f t="shared" si="77"/>
        <v>102</v>
      </c>
      <c r="Z169" s="51">
        <f t="shared" si="78"/>
        <v>122.39999999999999</v>
      </c>
      <c r="AA169" s="191">
        <f t="shared" si="79"/>
        <v>142.79999999999998</v>
      </c>
    </row>
    <row r="170" spans="1:27" x14ac:dyDescent="0.35">
      <c r="A170" t="str">
        <f ca="1">feildgunassets[[#This Row],[Column1]]&amp;"_"&amp;OFFSET(feildgunassets[[#This Row],[Column6]],0,setup!C$9)&amp;""</f>
        <v>88mm pak 43_144</v>
      </c>
      <c r="B170" s="50" t="str">
        <f>feildgunscalculator[[#This Row],[gun]]</f>
        <v>88mm pak 43</v>
      </c>
      <c r="C170" t="s">
        <v>502</v>
      </c>
      <c r="D170">
        <f>feildgunscalculator[[#This Row],[conscript]]</f>
        <v>115</v>
      </c>
      <c r="E170">
        <f>feildgunscalculator[[#This Row],[trained]]</f>
        <v>144</v>
      </c>
      <c r="F170">
        <f>feildgunscalculator[[#This Row],[experianced]]</f>
        <v>173</v>
      </c>
      <c r="G170">
        <f>feildgunscalculator[[#This Row],[veteran]]</f>
        <v>202</v>
      </c>
      <c r="H170" s="59"/>
      <c r="K170" s="192" t="s">
        <v>345</v>
      </c>
      <c r="L170" s="119">
        <v>11</v>
      </c>
      <c r="M170" s="119">
        <v>1</v>
      </c>
      <c r="N170" s="119">
        <v>5</v>
      </c>
      <c r="O170" s="119">
        <v>44</v>
      </c>
      <c r="P170" s="119" t="s">
        <v>651</v>
      </c>
      <c r="Q170" s="119" t="s">
        <v>342</v>
      </c>
      <c r="R170" s="119">
        <f>(feildgunscalculator[[#This Row],[AP]]*feildgunscalculator[[#This Row],[AP]]+feildgunscalculator[[#This Row],[AUTO]])+(feildgunscalculator[[#This Row],[range]]/2)</f>
        <v>144</v>
      </c>
      <c r="S170" s="119">
        <f t="shared" si="72"/>
        <v>115</v>
      </c>
      <c r="T170" s="119">
        <f t="shared" si="73"/>
        <v>144</v>
      </c>
      <c r="U170" s="119">
        <f t="shared" si="74"/>
        <v>173</v>
      </c>
      <c r="V170" s="119">
        <f t="shared" si="75"/>
        <v>202</v>
      </c>
      <c r="W170" s="119"/>
      <c r="X170" s="119">
        <f t="shared" si="76"/>
        <v>115.2</v>
      </c>
      <c r="Y170" s="51">
        <f t="shared" si="77"/>
        <v>144</v>
      </c>
      <c r="Z170" s="51">
        <f t="shared" si="78"/>
        <v>172.79999999999998</v>
      </c>
      <c r="AA170" s="191">
        <f t="shared" si="79"/>
        <v>201.6</v>
      </c>
    </row>
    <row r="171" spans="1:27" x14ac:dyDescent="0.35">
      <c r="A171" t="str">
        <f ca="1">feildgunassets[[#This Row],[Column1]]&amp;"_"&amp;OFFSET(feildgunassets[[#This Row],[Column6]],0,setup!C$9)&amp;""</f>
        <v>20mm hispano_48</v>
      </c>
      <c r="B171" s="50" t="str">
        <f>feildgunscalculator[[#This Row],[gun]]</f>
        <v>20mm hispano</v>
      </c>
      <c r="C171" t="s">
        <v>502</v>
      </c>
      <c r="D171">
        <f>feildgunscalculator[[#This Row],[conscript]]</f>
        <v>38</v>
      </c>
      <c r="E171">
        <f>feildgunscalculator[[#This Row],[trained]]</f>
        <v>48</v>
      </c>
      <c r="F171">
        <f>feildgunscalculator[[#This Row],[experianced]]</f>
        <v>58</v>
      </c>
      <c r="G171">
        <f>feildgunscalculator[[#This Row],[veteran]]</f>
        <v>67</v>
      </c>
      <c r="H171" s="59"/>
      <c r="K171" s="190" t="s">
        <v>363</v>
      </c>
      <c r="L171" s="51">
        <v>3</v>
      </c>
      <c r="M171" s="51">
        <v>25</v>
      </c>
      <c r="N171" s="51">
        <v>2</v>
      </c>
      <c r="O171" s="51">
        <v>28</v>
      </c>
      <c r="P171" s="119" t="s">
        <v>650</v>
      </c>
      <c r="Q171" s="51" t="s">
        <v>327</v>
      </c>
      <c r="R171" s="119">
        <f>(feildgunscalculator[[#This Row],[AP]]*feildgunscalculator[[#This Row],[AP]]+feildgunscalculator[[#This Row],[AUTO]])+(feildgunscalculator[[#This Row],[range]]/2)</f>
        <v>48</v>
      </c>
      <c r="S171" s="119">
        <f t="shared" si="72"/>
        <v>38</v>
      </c>
      <c r="T171" s="119">
        <f t="shared" si="73"/>
        <v>48</v>
      </c>
      <c r="U171" s="119">
        <f t="shared" si="74"/>
        <v>58</v>
      </c>
      <c r="V171" s="119">
        <f t="shared" ref="V171:V192" si="80">MROUND(AA171,1)</f>
        <v>67</v>
      </c>
      <c r="W171" s="119"/>
      <c r="X171" s="119">
        <f t="shared" si="76"/>
        <v>38.400000000000006</v>
      </c>
      <c r="Y171" s="51">
        <f t="shared" si="77"/>
        <v>48</v>
      </c>
      <c r="Z171" s="51">
        <f t="shared" si="78"/>
        <v>57.599999999999994</v>
      </c>
      <c r="AA171" s="191">
        <f t="shared" si="79"/>
        <v>67.199999999999989</v>
      </c>
    </row>
    <row r="172" spans="1:27" x14ac:dyDescent="0.35">
      <c r="A172" t="str">
        <f ca="1">feildgunassets[[#This Row],[Column1]]&amp;"_"&amp;OFFSET(feildgunassets[[#This Row],[Column6]],0,setup!C$9)&amp;""</f>
        <v>37mm M3_32</v>
      </c>
      <c r="B172" s="50" t="str">
        <f>feildgunscalculator[[#This Row],[gun]]</f>
        <v>37mm M3</v>
      </c>
      <c r="C172" t="s">
        <v>502</v>
      </c>
      <c r="D172">
        <f>feildgunscalculator[[#This Row],[conscript]]</f>
        <v>26</v>
      </c>
      <c r="E172">
        <f>feildgunscalculator[[#This Row],[trained]]</f>
        <v>32</v>
      </c>
      <c r="F172">
        <f>feildgunscalculator[[#This Row],[experianced]]</f>
        <v>38</v>
      </c>
      <c r="G172">
        <f>feildgunscalculator[[#This Row],[veteran]]</f>
        <v>45</v>
      </c>
      <c r="H172" s="59"/>
      <c r="K172" s="192" t="s">
        <v>347</v>
      </c>
      <c r="L172" s="119">
        <v>4</v>
      </c>
      <c r="M172" s="119">
        <v>1</v>
      </c>
      <c r="N172" s="119">
        <v>2</v>
      </c>
      <c r="O172" s="119">
        <v>30</v>
      </c>
      <c r="P172" s="119" t="s">
        <v>650</v>
      </c>
      <c r="Q172" s="119" t="s">
        <v>327</v>
      </c>
      <c r="R172" s="119">
        <f>(feildgunscalculator[[#This Row],[AP]]*feildgunscalculator[[#This Row],[AP]]+feildgunscalculator[[#This Row],[AUTO]])+(feildgunscalculator[[#This Row],[range]]/2)</f>
        <v>32</v>
      </c>
      <c r="S172" s="119">
        <f t="shared" si="72"/>
        <v>26</v>
      </c>
      <c r="T172" s="119">
        <f t="shared" si="73"/>
        <v>32</v>
      </c>
      <c r="U172" s="119">
        <f t="shared" si="74"/>
        <v>38</v>
      </c>
      <c r="V172" s="119">
        <f t="shared" si="80"/>
        <v>45</v>
      </c>
      <c r="W172" s="119"/>
      <c r="X172" s="119">
        <f t="shared" si="76"/>
        <v>25.6</v>
      </c>
      <c r="Y172" s="51">
        <f t="shared" si="77"/>
        <v>32</v>
      </c>
      <c r="Z172" s="51">
        <f t="shared" si="78"/>
        <v>38.4</v>
      </c>
      <c r="AA172" s="191">
        <f t="shared" si="79"/>
        <v>44.8</v>
      </c>
    </row>
    <row r="173" spans="1:27" x14ac:dyDescent="0.35">
      <c r="A173" t="str">
        <f ca="1">feildgunassets[[#This Row],[Column1]]&amp;"_"&amp;OFFSET(feildgunassets[[#This Row],[Column6]],0,setup!C$9)&amp;""</f>
        <v>57mm M1_54</v>
      </c>
      <c r="B173" s="50" t="str">
        <f>feildgunscalculator[[#This Row],[gun]]</f>
        <v>57mm M1</v>
      </c>
      <c r="C173" t="s">
        <v>502</v>
      </c>
      <c r="D173">
        <f>feildgunscalculator[[#This Row],[conscript]]</f>
        <v>43</v>
      </c>
      <c r="E173">
        <f>feildgunscalculator[[#This Row],[trained]]</f>
        <v>54</v>
      </c>
      <c r="F173">
        <f>feildgunscalculator[[#This Row],[experianced]]</f>
        <v>65</v>
      </c>
      <c r="G173">
        <f>feildgunscalculator[[#This Row],[veteran]]</f>
        <v>76</v>
      </c>
      <c r="H173" s="59"/>
      <c r="K173" s="192" t="s">
        <v>348</v>
      </c>
      <c r="L173" s="119">
        <v>6</v>
      </c>
      <c r="M173" s="119">
        <v>1</v>
      </c>
      <c r="N173" s="119">
        <v>3</v>
      </c>
      <c r="O173" s="119">
        <v>34</v>
      </c>
      <c r="P173" s="119" t="s">
        <v>651</v>
      </c>
      <c r="Q173" s="119" t="s">
        <v>327</v>
      </c>
      <c r="R173" s="119">
        <f>(feildgunscalculator[[#This Row],[AP]]*feildgunscalculator[[#This Row],[AP]]+feildgunscalculator[[#This Row],[AUTO]])+(feildgunscalculator[[#This Row],[range]]/2)</f>
        <v>54</v>
      </c>
      <c r="S173" s="119">
        <f t="shared" si="72"/>
        <v>43</v>
      </c>
      <c r="T173" s="119">
        <f t="shared" si="73"/>
        <v>54</v>
      </c>
      <c r="U173" s="119">
        <f t="shared" si="74"/>
        <v>65</v>
      </c>
      <c r="V173" s="119">
        <f t="shared" si="80"/>
        <v>76</v>
      </c>
      <c r="W173" s="119"/>
      <c r="X173" s="119">
        <f t="shared" si="76"/>
        <v>43.2</v>
      </c>
      <c r="Y173" s="51">
        <f t="shared" si="77"/>
        <v>54</v>
      </c>
      <c r="Z173" s="51">
        <f t="shared" si="78"/>
        <v>64.8</v>
      </c>
      <c r="AA173" s="191">
        <f t="shared" si="79"/>
        <v>75.599999999999994</v>
      </c>
    </row>
    <row r="174" spans="1:27" x14ac:dyDescent="0.35">
      <c r="A174" t="str">
        <f ca="1">feildgunassets[[#This Row],[Column1]]&amp;"_"&amp;OFFSET(feildgunassets[[#This Row],[Column6]],0,setup!C$9)&amp;""</f>
        <v>76mm M5/M7_102</v>
      </c>
      <c r="B174" s="50" t="str">
        <f>feildgunscalculator[[#This Row],[gun]]</f>
        <v>76mm M5/M7</v>
      </c>
      <c r="C174" t="s">
        <v>502</v>
      </c>
      <c r="D174">
        <f>feildgunscalculator[[#This Row],[conscript]]</f>
        <v>82</v>
      </c>
      <c r="E174">
        <f>feildgunscalculator[[#This Row],[trained]]</f>
        <v>102</v>
      </c>
      <c r="F174">
        <f>feildgunscalculator[[#This Row],[experianced]]</f>
        <v>122</v>
      </c>
      <c r="G174">
        <f>feildgunscalculator[[#This Row],[veteran]]</f>
        <v>143</v>
      </c>
      <c r="H174" s="59"/>
      <c r="K174" s="192" t="s">
        <v>349</v>
      </c>
      <c r="L174" s="119">
        <v>9</v>
      </c>
      <c r="M174" s="119">
        <v>1</v>
      </c>
      <c r="N174" s="119">
        <v>4</v>
      </c>
      <c r="O174" s="119">
        <v>40</v>
      </c>
      <c r="P174" s="119" t="s">
        <v>651</v>
      </c>
      <c r="Q174" s="119" t="s">
        <v>327</v>
      </c>
      <c r="R174" s="119">
        <f>(feildgunscalculator[[#This Row],[AP]]*feildgunscalculator[[#This Row],[AP]]+feildgunscalculator[[#This Row],[AUTO]])+(feildgunscalculator[[#This Row],[range]]/2)</f>
        <v>102</v>
      </c>
      <c r="S174" s="119">
        <f t="shared" si="72"/>
        <v>82</v>
      </c>
      <c r="T174" s="119">
        <f t="shared" si="73"/>
        <v>102</v>
      </c>
      <c r="U174" s="119">
        <f t="shared" si="74"/>
        <v>122</v>
      </c>
      <c r="V174" s="119">
        <f t="shared" si="80"/>
        <v>143</v>
      </c>
      <c r="W174" s="119"/>
      <c r="X174" s="119">
        <f t="shared" si="76"/>
        <v>81.600000000000009</v>
      </c>
      <c r="Y174" s="51">
        <f t="shared" si="77"/>
        <v>102</v>
      </c>
      <c r="Z174" s="51">
        <f t="shared" si="78"/>
        <v>122.39999999999999</v>
      </c>
      <c r="AA174" s="191">
        <f t="shared" si="79"/>
        <v>142.79999999999998</v>
      </c>
    </row>
    <row r="175" spans="1:27" ht="15" thickBot="1" x14ac:dyDescent="0.4">
      <c r="A175" t="str">
        <f ca="1">feildgunassets[[#This Row],[Column1]]&amp;"_"&amp;OFFSET(feildgunassets[[#This Row],[Column6]],0,setup!C$9)&amp;""</f>
        <v>20mm Oerlikon_48</v>
      </c>
      <c r="B175" s="50" t="str">
        <f>feildgunscalculator[[#This Row],[gun]]</f>
        <v>20mm Oerlikon</v>
      </c>
      <c r="C175" t="s">
        <v>502</v>
      </c>
      <c r="D175">
        <f>feildgunscalculator[[#This Row],[conscript]]</f>
        <v>38</v>
      </c>
      <c r="E175">
        <f>feildgunscalculator[[#This Row],[trained]]</f>
        <v>48</v>
      </c>
      <c r="F175">
        <f>feildgunscalculator[[#This Row],[experianced]]</f>
        <v>58</v>
      </c>
      <c r="G175">
        <f>feildgunscalculator[[#This Row],[veteran]]</f>
        <v>67</v>
      </c>
      <c r="H175" s="59"/>
      <c r="I175" s="15" t="s">
        <v>77</v>
      </c>
      <c r="J175" s="15"/>
      <c r="K175" s="192" t="s">
        <v>362</v>
      </c>
      <c r="L175" s="119">
        <v>3</v>
      </c>
      <c r="M175" s="119">
        <v>25</v>
      </c>
      <c r="N175" s="119">
        <v>2</v>
      </c>
      <c r="O175" s="119">
        <v>28</v>
      </c>
      <c r="P175" s="119" t="s">
        <v>650</v>
      </c>
      <c r="Q175" s="119" t="s">
        <v>328</v>
      </c>
      <c r="R175" s="119">
        <f>(feildgunscalculator[[#This Row],[AP]]*feildgunscalculator[[#This Row],[AP]]+feildgunscalculator[[#This Row],[AUTO]])+(feildgunscalculator[[#This Row],[range]]/2)</f>
        <v>48</v>
      </c>
      <c r="S175" s="119">
        <f t="shared" si="72"/>
        <v>38</v>
      </c>
      <c r="T175" s="119">
        <f t="shared" si="73"/>
        <v>48</v>
      </c>
      <c r="U175" s="119">
        <f t="shared" si="74"/>
        <v>58</v>
      </c>
      <c r="V175" s="119">
        <f t="shared" si="80"/>
        <v>67</v>
      </c>
      <c r="W175" s="119"/>
      <c r="X175" s="119">
        <f t="shared" si="76"/>
        <v>38.400000000000006</v>
      </c>
      <c r="Y175" s="51">
        <f t="shared" si="77"/>
        <v>48</v>
      </c>
      <c r="Z175" s="51">
        <f t="shared" si="78"/>
        <v>57.599999999999994</v>
      </c>
      <c r="AA175" s="191">
        <f t="shared" si="79"/>
        <v>67.199999999999989</v>
      </c>
    </row>
    <row r="176" spans="1:27" x14ac:dyDescent="0.35">
      <c r="A176" t="str">
        <f ca="1">feildgunassets[[#This Row],[Column1]]&amp;"_"&amp;OFFSET(feildgunassets[[#This Row],[Column6]],0,setup!C$9)&amp;""</f>
        <v>QF 2-pounder_42</v>
      </c>
      <c r="B176" s="50" t="str">
        <f>feildgunscalculator[[#This Row],[gun]]</f>
        <v>QF 2-pounder</v>
      </c>
      <c r="C176" t="s">
        <v>502</v>
      </c>
      <c r="D176">
        <f>feildgunscalculator[[#This Row],[conscript]]</f>
        <v>34</v>
      </c>
      <c r="E176">
        <f>feildgunscalculator[[#This Row],[trained]]</f>
        <v>42</v>
      </c>
      <c r="F176">
        <f>feildgunscalculator[[#This Row],[experianced]]</f>
        <v>50</v>
      </c>
      <c r="G176">
        <f>feildgunscalculator[[#This Row],[veteran]]</f>
        <v>59</v>
      </c>
      <c r="I176" s="50" t="s">
        <v>78</v>
      </c>
      <c r="J176" s="97">
        <v>10</v>
      </c>
      <c r="K176" s="192" t="s">
        <v>636</v>
      </c>
      <c r="L176" s="119">
        <v>5</v>
      </c>
      <c r="M176" s="119">
        <v>1</v>
      </c>
      <c r="N176" s="119">
        <v>3</v>
      </c>
      <c r="O176" s="119">
        <v>32</v>
      </c>
      <c r="P176" s="119" t="s">
        <v>650</v>
      </c>
      <c r="Q176" s="119" t="s">
        <v>328</v>
      </c>
      <c r="R176" s="119">
        <f>(feildgunscalculator[[#This Row],[AP]]*feildgunscalculator[[#This Row],[AP]]+feildgunscalculator[[#This Row],[AUTO]])+(feildgunscalculator[[#This Row],[range]]/2)</f>
        <v>42</v>
      </c>
      <c r="S176" s="119">
        <f t="shared" si="72"/>
        <v>34</v>
      </c>
      <c r="T176" s="119">
        <f t="shared" si="73"/>
        <v>42</v>
      </c>
      <c r="U176" s="119">
        <f t="shared" si="74"/>
        <v>50</v>
      </c>
      <c r="V176" s="119">
        <f t="shared" si="80"/>
        <v>59</v>
      </c>
      <c r="W176" s="119"/>
      <c r="X176" s="119">
        <f t="shared" si="76"/>
        <v>33.6</v>
      </c>
      <c r="Y176" s="51">
        <f t="shared" si="77"/>
        <v>42</v>
      </c>
      <c r="Z176" s="51">
        <f t="shared" si="78"/>
        <v>50.4</v>
      </c>
      <c r="AA176" s="191">
        <f t="shared" si="79"/>
        <v>58.8</v>
      </c>
    </row>
    <row r="177" spans="1:32" x14ac:dyDescent="0.35">
      <c r="A177" t="str">
        <f ca="1">feildgunassets[[#This Row],[Column1]]&amp;"_"&amp;OFFSET(feildgunassets[[#This Row],[Column6]],0,setup!C$9)&amp;""</f>
        <v>QF 6 pounder_68</v>
      </c>
      <c r="B177" s="50" t="str">
        <f>feildgunscalculator[[#This Row],[gun]]</f>
        <v>QF 6 pounder</v>
      </c>
      <c r="C177" t="s">
        <v>502</v>
      </c>
      <c r="D177">
        <f>feildgunscalculator[[#This Row],[conscript]]</f>
        <v>54</v>
      </c>
      <c r="E177">
        <f>feildgunscalculator[[#This Row],[trained]]</f>
        <v>68</v>
      </c>
      <c r="F177">
        <f>feildgunscalculator[[#This Row],[experianced]]</f>
        <v>82</v>
      </c>
      <c r="G177">
        <f>feildgunscalculator[[#This Row],[veteran]]</f>
        <v>95</v>
      </c>
      <c r="I177" s="47" t="s">
        <v>79</v>
      </c>
      <c r="J177" s="76">
        <v>50</v>
      </c>
      <c r="K177" s="192" t="s">
        <v>637</v>
      </c>
      <c r="L177" s="119">
        <v>7</v>
      </c>
      <c r="M177" s="119">
        <v>1</v>
      </c>
      <c r="N177" s="119">
        <v>4</v>
      </c>
      <c r="O177" s="119">
        <v>36</v>
      </c>
      <c r="P177" s="119" t="s">
        <v>651</v>
      </c>
      <c r="Q177" s="119" t="s">
        <v>328</v>
      </c>
      <c r="R177" s="119">
        <f>(feildgunscalculator[[#This Row],[AP]]*feildgunscalculator[[#This Row],[AP]]+feildgunscalculator[[#This Row],[AUTO]])+(feildgunscalculator[[#This Row],[range]]/2)</f>
        <v>68</v>
      </c>
      <c r="S177" s="119">
        <f t="shared" si="72"/>
        <v>54</v>
      </c>
      <c r="T177" s="119">
        <f t="shared" si="73"/>
        <v>68</v>
      </c>
      <c r="U177" s="119">
        <f t="shared" si="74"/>
        <v>82</v>
      </c>
      <c r="V177" s="119">
        <f t="shared" si="80"/>
        <v>95</v>
      </c>
      <c r="W177" s="119"/>
      <c r="X177" s="119">
        <f t="shared" si="76"/>
        <v>54.400000000000006</v>
      </c>
      <c r="Y177" s="51">
        <f t="shared" si="77"/>
        <v>68</v>
      </c>
      <c r="Z177" s="51">
        <f t="shared" si="78"/>
        <v>81.599999999999994</v>
      </c>
      <c r="AA177" s="191">
        <f t="shared" si="79"/>
        <v>95.199999999999989</v>
      </c>
      <c r="AB177" s="117"/>
    </row>
    <row r="178" spans="1:32" x14ac:dyDescent="0.35">
      <c r="A178" t="str">
        <f ca="1">feildgunassets[[#This Row],[Column1]]&amp;"_"&amp;OFFSET(feildgunassets[[#This Row],[Column6]],0,setup!C$9)&amp;""</f>
        <v>QF 17 pounder_144</v>
      </c>
      <c r="B178" s="50" t="str">
        <f>feildgunscalculator[[#This Row],[gun]]</f>
        <v>QF 17 pounder</v>
      </c>
      <c r="C178" t="s">
        <v>502</v>
      </c>
      <c r="D178">
        <f>feildgunscalculator[[#This Row],[conscript]]</f>
        <v>115</v>
      </c>
      <c r="E178">
        <f>feildgunscalculator[[#This Row],[trained]]</f>
        <v>144</v>
      </c>
      <c r="F178">
        <f>feildgunscalculator[[#This Row],[experianced]]</f>
        <v>173</v>
      </c>
      <c r="G178">
        <f>feildgunscalculator[[#This Row],[veteran]]</f>
        <v>202</v>
      </c>
      <c r="I178" s="47" t="s">
        <v>84</v>
      </c>
      <c r="J178" s="76">
        <v>25</v>
      </c>
      <c r="K178" s="192" t="s">
        <v>638</v>
      </c>
      <c r="L178" s="119">
        <v>11</v>
      </c>
      <c r="M178" s="119">
        <v>1</v>
      </c>
      <c r="N178" s="119">
        <v>5</v>
      </c>
      <c r="O178" s="119">
        <v>44</v>
      </c>
      <c r="P178" s="119" t="s">
        <v>651</v>
      </c>
      <c r="Q178" s="119" t="s">
        <v>328</v>
      </c>
      <c r="R178" s="119">
        <f>(feildgunscalculator[[#This Row],[AP]]*feildgunscalculator[[#This Row],[AP]]+feildgunscalculator[[#This Row],[AUTO]])+(feildgunscalculator[[#This Row],[range]]/2)</f>
        <v>144</v>
      </c>
      <c r="S178" s="119">
        <f t="shared" si="72"/>
        <v>115</v>
      </c>
      <c r="T178" s="119">
        <f t="shared" si="73"/>
        <v>144</v>
      </c>
      <c r="U178" s="119">
        <f t="shared" si="74"/>
        <v>173</v>
      </c>
      <c r="V178" s="119">
        <f t="shared" si="80"/>
        <v>202</v>
      </c>
      <c r="W178" s="119"/>
      <c r="X178" s="119">
        <f t="shared" si="76"/>
        <v>115.2</v>
      </c>
      <c r="Y178" s="51">
        <f t="shared" si="77"/>
        <v>144</v>
      </c>
      <c r="Z178" s="51">
        <f t="shared" si="78"/>
        <v>172.79999999999998</v>
      </c>
      <c r="AA178" s="191">
        <f t="shared" si="79"/>
        <v>201.6</v>
      </c>
      <c r="AB178" s="117"/>
    </row>
    <row r="179" spans="1:32" x14ac:dyDescent="0.35">
      <c r="A179" t="str">
        <f ca="1">feildgunassets[[#This Row],[Column1]]&amp;"_"&amp;OFFSET(feildgunassets[[#This Row],[Column6]],0,setup!C$9)&amp;""</f>
        <v>25mm m1940 72-k_48</v>
      </c>
      <c r="B179" s="50" t="str">
        <f>feildgunscalculator[[#This Row],[gun]]</f>
        <v>25mm m1940 72-k</v>
      </c>
      <c r="C179" t="s">
        <v>502</v>
      </c>
      <c r="D179">
        <f>feildgunscalculator[[#This Row],[conscript]]</f>
        <v>38</v>
      </c>
      <c r="E179">
        <f>feildgunscalculator[[#This Row],[trained]]</f>
        <v>48</v>
      </c>
      <c r="F179">
        <f>feildgunscalculator[[#This Row],[experianced]]</f>
        <v>58</v>
      </c>
      <c r="G179">
        <f>feildgunscalculator[[#This Row],[veteran]]</f>
        <v>67</v>
      </c>
      <c r="I179" s="50" t="s">
        <v>83</v>
      </c>
      <c r="J179" s="76">
        <v>40</v>
      </c>
      <c r="K179" s="192" t="s">
        <v>384</v>
      </c>
      <c r="L179" s="119">
        <v>3</v>
      </c>
      <c r="M179" s="119">
        <v>25</v>
      </c>
      <c r="N179" s="119">
        <v>2</v>
      </c>
      <c r="O179" s="119">
        <v>28</v>
      </c>
      <c r="P179" s="119" t="s">
        <v>650</v>
      </c>
      <c r="Q179" s="119" t="s">
        <v>355</v>
      </c>
      <c r="R179" s="119">
        <f>(feildgunscalculator[[#This Row],[AP]]*feildgunscalculator[[#This Row],[AP]]+feildgunscalculator[[#This Row],[AUTO]])+(feildgunscalculator[[#This Row],[range]]/2)</f>
        <v>48</v>
      </c>
      <c r="S179" s="119">
        <f t="shared" ref="S179:S192" si="81">MROUND(X179,1)</f>
        <v>38</v>
      </c>
      <c r="T179" s="119">
        <f t="shared" ref="T179:T192" si="82">MROUND(Y179,1)</f>
        <v>48</v>
      </c>
      <c r="U179" s="119">
        <f t="shared" ref="U179:U192" si="83">MROUND(Z179,1)</f>
        <v>58</v>
      </c>
      <c r="V179" s="119">
        <f t="shared" si="80"/>
        <v>67</v>
      </c>
      <c r="W179" s="119"/>
      <c r="X179" s="119">
        <f t="shared" si="76"/>
        <v>38.400000000000006</v>
      </c>
      <c r="Y179" s="51">
        <f t="shared" si="77"/>
        <v>48</v>
      </c>
      <c r="Z179" s="51">
        <f t="shared" si="78"/>
        <v>57.599999999999994</v>
      </c>
      <c r="AA179" s="191">
        <f t="shared" si="79"/>
        <v>67.199999999999989</v>
      </c>
      <c r="AB179" s="117"/>
    </row>
    <row r="180" spans="1:32" x14ac:dyDescent="0.35">
      <c r="A180" t="str">
        <f ca="1">feildgunassets[[#This Row],[Column1]]&amp;"_"&amp;OFFSET(feildgunassets[[#This Row],[Column6]],0,setup!C$9)&amp;""</f>
        <v>37mm M1930 1-k_32</v>
      </c>
      <c r="B180" s="50" t="str">
        <f>feildgunscalculator[[#This Row],[gun]]</f>
        <v>37mm M1930 1-k</v>
      </c>
      <c r="C180" t="s">
        <v>502</v>
      </c>
      <c r="D180">
        <f>feildgunscalculator[[#This Row],[conscript]]</f>
        <v>26</v>
      </c>
      <c r="E180">
        <f>feildgunscalculator[[#This Row],[trained]]</f>
        <v>32</v>
      </c>
      <c r="F180">
        <f>feildgunscalculator[[#This Row],[experianced]]</f>
        <v>38</v>
      </c>
      <c r="G180">
        <f>feildgunscalculator[[#This Row],[veteran]]</f>
        <v>45</v>
      </c>
      <c r="I180" s="50" t="s">
        <v>82</v>
      </c>
      <c r="J180" s="76">
        <v>60</v>
      </c>
      <c r="K180" s="190" t="s">
        <v>350</v>
      </c>
      <c r="L180" s="51">
        <v>4</v>
      </c>
      <c r="M180" s="51">
        <v>1</v>
      </c>
      <c r="N180" s="51">
        <v>2</v>
      </c>
      <c r="O180" s="51">
        <v>30</v>
      </c>
      <c r="P180" s="119" t="s">
        <v>650</v>
      </c>
      <c r="Q180" s="51" t="s">
        <v>355</v>
      </c>
      <c r="R180" s="119">
        <f>(feildgunscalculator[[#This Row],[AP]]*feildgunscalculator[[#This Row],[AP]]+feildgunscalculator[[#This Row],[AUTO]])+(feildgunscalculator[[#This Row],[range]]/2)</f>
        <v>32</v>
      </c>
      <c r="S180" s="119">
        <f t="shared" si="81"/>
        <v>26</v>
      </c>
      <c r="T180" s="119">
        <f t="shared" si="82"/>
        <v>32</v>
      </c>
      <c r="U180" s="119">
        <f t="shared" si="83"/>
        <v>38</v>
      </c>
      <c r="V180" s="119">
        <f t="shared" si="80"/>
        <v>45</v>
      </c>
      <c r="W180" s="119"/>
      <c r="X180" s="119">
        <f t="shared" si="76"/>
        <v>25.6</v>
      </c>
      <c r="Y180" s="51">
        <f t="shared" ref="Y180:Y192" si="84">R180</f>
        <v>32</v>
      </c>
      <c r="Z180" s="51">
        <f t="shared" si="78"/>
        <v>38.4</v>
      </c>
      <c r="AA180" s="191">
        <f t="shared" si="79"/>
        <v>44.8</v>
      </c>
      <c r="AB180" s="117"/>
    </row>
    <row r="181" spans="1:32" x14ac:dyDescent="0.35">
      <c r="A181" t="str">
        <f ca="1">feildgunassets[[#This Row],[Column1]]&amp;"_"&amp;OFFSET(feildgunassets[[#This Row],[Column6]],0,setup!C$9)&amp;""</f>
        <v>45mm M1932_42</v>
      </c>
      <c r="B181" s="50" t="str">
        <f>feildgunscalculator[[#This Row],[gun]]</f>
        <v>45mm M1932</v>
      </c>
      <c r="C181" t="s">
        <v>502</v>
      </c>
      <c r="D181">
        <f>feildgunscalculator[[#This Row],[conscript]]</f>
        <v>34</v>
      </c>
      <c r="E181">
        <f>feildgunscalculator[[#This Row],[trained]]</f>
        <v>42</v>
      </c>
      <c r="F181">
        <f>feildgunscalculator[[#This Row],[experianced]]</f>
        <v>50</v>
      </c>
      <c r="G181">
        <f>feildgunscalculator[[#This Row],[veteran]]</f>
        <v>59</v>
      </c>
      <c r="I181" s="50" t="s">
        <v>81</v>
      </c>
      <c r="J181" s="76">
        <v>100</v>
      </c>
      <c r="K181" s="190" t="s">
        <v>351</v>
      </c>
      <c r="L181" s="51">
        <v>5</v>
      </c>
      <c r="M181" s="51">
        <v>1</v>
      </c>
      <c r="N181" s="51">
        <v>3</v>
      </c>
      <c r="O181" s="51">
        <v>32</v>
      </c>
      <c r="P181" s="119" t="s">
        <v>650</v>
      </c>
      <c r="Q181" s="51" t="s">
        <v>355</v>
      </c>
      <c r="R181" s="119">
        <f>(feildgunscalculator[[#This Row],[AP]]*feildgunscalculator[[#This Row],[AP]]+feildgunscalculator[[#This Row],[AUTO]])+(feildgunscalculator[[#This Row],[range]]/2)</f>
        <v>42</v>
      </c>
      <c r="S181" s="119">
        <f t="shared" si="81"/>
        <v>34</v>
      </c>
      <c r="T181" s="119">
        <f t="shared" si="82"/>
        <v>42</v>
      </c>
      <c r="U181" s="119">
        <f t="shared" si="83"/>
        <v>50</v>
      </c>
      <c r="V181" s="119">
        <f t="shared" si="80"/>
        <v>59</v>
      </c>
      <c r="W181" s="119"/>
      <c r="X181" s="119">
        <f t="shared" si="76"/>
        <v>33.6</v>
      </c>
      <c r="Y181" s="51">
        <f t="shared" si="84"/>
        <v>42</v>
      </c>
      <c r="Z181" s="51">
        <f t="shared" si="78"/>
        <v>50.4</v>
      </c>
      <c r="AA181" s="191">
        <f t="shared" si="79"/>
        <v>58.8</v>
      </c>
      <c r="AB181" s="117"/>
    </row>
    <row r="182" spans="1:32" ht="15" thickBot="1" x14ac:dyDescent="0.4">
      <c r="A182" t="str">
        <f ca="1">feildgunassets[[#This Row],[Column1]]&amp;"_"&amp;OFFSET(feildgunassets[[#This Row],[Column6]],0,setup!C$9)&amp;""</f>
        <v>57mm ZiS-2_54</v>
      </c>
      <c r="B182" s="50" t="str">
        <f>feildgunscalculator[[#This Row],[gun]]</f>
        <v>57mm ZiS-2</v>
      </c>
      <c r="C182" t="s">
        <v>502</v>
      </c>
      <c r="D182">
        <f>feildgunscalculator[[#This Row],[conscript]]</f>
        <v>43</v>
      </c>
      <c r="E182">
        <f>feildgunscalculator[[#This Row],[trained]]</f>
        <v>54</v>
      </c>
      <c r="F182">
        <f>feildgunscalculator[[#This Row],[experianced]]</f>
        <v>65</v>
      </c>
      <c r="G182">
        <f>feildgunscalculator[[#This Row],[veteran]]</f>
        <v>76</v>
      </c>
      <c r="I182" s="33" t="s">
        <v>80</v>
      </c>
      <c r="J182" s="106">
        <v>150</v>
      </c>
      <c r="K182" s="190" t="s">
        <v>352</v>
      </c>
      <c r="L182" s="51">
        <v>6</v>
      </c>
      <c r="M182" s="51">
        <v>1</v>
      </c>
      <c r="N182" s="51">
        <v>3</v>
      </c>
      <c r="O182" s="51">
        <v>34</v>
      </c>
      <c r="P182" s="119" t="s">
        <v>651</v>
      </c>
      <c r="Q182" s="51" t="s">
        <v>355</v>
      </c>
      <c r="R182" s="119">
        <f>(feildgunscalculator[[#This Row],[AP]]*feildgunscalculator[[#This Row],[AP]]+feildgunscalculator[[#This Row],[AUTO]])+(feildgunscalculator[[#This Row],[range]]/2)</f>
        <v>54</v>
      </c>
      <c r="S182" s="119">
        <f t="shared" si="81"/>
        <v>43</v>
      </c>
      <c r="T182" s="119">
        <f t="shared" si="82"/>
        <v>54</v>
      </c>
      <c r="U182" s="119">
        <f t="shared" si="83"/>
        <v>65</v>
      </c>
      <c r="V182" s="119">
        <f t="shared" si="80"/>
        <v>76</v>
      </c>
      <c r="W182" s="119"/>
      <c r="X182" s="119">
        <f t="shared" si="76"/>
        <v>43.2</v>
      </c>
      <c r="Y182" s="51">
        <f t="shared" si="84"/>
        <v>54</v>
      </c>
      <c r="Z182" s="51">
        <f t="shared" si="78"/>
        <v>64.8</v>
      </c>
      <c r="AA182" s="191">
        <f t="shared" si="79"/>
        <v>75.599999999999994</v>
      </c>
      <c r="AB182" s="117"/>
    </row>
    <row r="183" spans="1:32" x14ac:dyDescent="0.35">
      <c r="A183" t="str">
        <f ca="1">feildgunassets[[#This Row],[Column1]]&amp;"_"&amp;OFFSET(feildgunassets[[#This Row],[Column6]],0,setup!C$9)&amp;""</f>
        <v>76.2mm Zis-3_84</v>
      </c>
      <c r="B183" s="50" t="str">
        <f>feildgunscalculator[[#This Row],[gun]]</f>
        <v>76.2mm Zis-3</v>
      </c>
      <c r="C183" t="s">
        <v>502</v>
      </c>
      <c r="D183">
        <f>feildgunscalculator[[#This Row],[conscript]]</f>
        <v>67</v>
      </c>
      <c r="E183">
        <f>feildgunscalculator[[#This Row],[trained]]</f>
        <v>84</v>
      </c>
      <c r="F183">
        <f>feildgunscalculator[[#This Row],[experianced]]</f>
        <v>101</v>
      </c>
      <c r="G183">
        <f>feildgunscalculator[[#This Row],[veteran]]</f>
        <v>118</v>
      </c>
      <c r="J183" s="59"/>
      <c r="K183" s="190" t="s">
        <v>383</v>
      </c>
      <c r="L183" s="51">
        <v>8</v>
      </c>
      <c r="M183" s="51">
        <v>1</v>
      </c>
      <c r="N183" s="51">
        <v>4</v>
      </c>
      <c r="O183" s="51">
        <v>38</v>
      </c>
      <c r="P183" s="119" t="s">
        <v>651</v>
      </c>
      <c r="Q183" s="51" t="s">
        <v>355</v>
      </c>
      <c r="R183" s="119">
        <f>(feildgunscalculator[[#This Row],[AP]]*feildgunscalculator[[#This Row],[AP]]+feildgunscalculator[[#This Row],[AUTO]])+(feildgunscalculator[[#This Row],[range]]/2)</f>
        <v>84</v>
      </c>
      <c r="S183" s="119">
        <f t="shared" si="81"/>
        <v>67</v>
      </c>
      <c r="T183" s="119">
        <f t="shared" si="82"/>
        <v>84</v>
      </c>
      <c r="U183" s="119">
        <f t="shared" si="83"/>
        <v>101</v>
      </c>
      <c r="V183" s="119">
        <f t="shared" si="80"/>
        <v>118</v>
      </c>
      <c r="W183" s="119"/>
      <c r="X183" s="119">
        <f t="shared" si="76"/>
        <v>67.2</v>
      </c>
      <c r="Y183" s="51">
        <f t="shared" si="84"/>
        <v>84</v>
      </c>
      <c r="Z183" s="51">
        <f t="shared" si="78"/>
        <v>100.8</v>
      </c>
      <c r="AA183" s="191">
        <f t="shared" si="79"/>
        <v>117.6</v>
      </c>
      <c r="AB183" s="117"/>
    </row>
    <row r="184" spans="1:32" x14ac:dyDescent="0.35">
      <c r="A184" t="str">
        <f ca="1">feildgunassets[[#This Row],[Column1]]&amp;"_"&amp;OFFSET(feildgunassets[[#This Row],[Column6]],0,setup!C$9)&amp;""</f>
        <v>85mm D-44_122</v>
      </c>
      <c r="B184" s="50" t="str">
        <f>feildgunscalculator[[#This Row],[gun]]</f>
        <v>85mm D-44</v>
      </c>
      <c r="C184" t="s">
        <v>502</v>
      </c>
      <c r="D184">
        <f>feildgunscalculator[[#This Row],[conscript]]</f>
        <v>98</v>
      </c>
      <c r="E184">
        <f>feildgunscalculator[[#This Row],[trained]]</f>
        <v>122</v>
      </c>
      <c r="F184">
        <f>feildgunscalculator[[#This Row],[experianced]]</f>
        <v>146</v>
      </c>
      <c r="G184">
        <f>feildgunscalculator[[#This Row],[veteran]]</f>
        <v>171</v>
      </c>
      <c r="I184" s="59"/>
      <c r="J184" s="59"/>
      <c r="K184" s="190" t="s">
        <v>353</v>
      </c>
      <c r="L184" s="51">
        <v>10</v>
      </c>
      <c r="M184" s="51">
        <v>1</v>
      </c>
      <c r="N184" s="51">
        <v>5</v>
      </c>
      <c r="O184" s="51">
        <v>42</v>
      </c>
      <c r="P184" s="119" t="s">
        <v>651</v>
      </c>
      <c r="Q184" s="51" t="s">
        <v>355</v>
      </c>
      <c r="R184" s="119">
        <f>(feildgunscalculator[[#This Row],[AP]]*feildgunscalculator[[#This Row],[AP]]+feildgunscalculator[[#This Row],[AUTO]])+(feildgunscalculator[[#This Row],[range]]/2)</f>
        <v>122</v>
      </c>
      <c r="S184" s="119">
        <f t="shared" si="81"/>
        <v>98</v>
      </c>
      <c r="T184" s="119">
        <f t="shared" si="82"/>
        <v>122</v>
      </c>
      <c r="U184" s="119">
        <f t="shared" si="83"/>
        <v>146</v>
      </c>
      <c r="V184" s="119">
        <f t="shared" si="80"/>
        <v>171</v>
      </c>
      <c r="W184" s="119"/>
      <c r="X184" s="119">
        <f t="shared" si="76"/>
        <v>97.600000000000009</v>
      </c>
      <c r="Y184" s="51">
        <f t="shared" si="84"/>
        <v>122</v>
      </c>
      <c r="Z184" s="51">
        <f t="shared" si="78"/>
        <v>146.4</v>
      </c>
      <c r="AA184" s="191">
        <f t="shared" si="79"/>
        <v>170.79999999999998</v>
      </c>
      <c r="AB184" s="117"/>
    </row>
    <row r="185" spans="1:32" x14ac:dyDescent="0.35">
      <c r="A185" t="str">
        <f ca="1">feildgunassets[[#This Row],[Column1]]&amp;"_"&amp;OFFSET(feildgunassets[[#This Row],[Column6]],0,setup!C$9)&amp;""</f>
        <v>100mm BS-3_144</v>
      </c>
      <c r="B185" s="50" t="str">
        <f>feildgunscalculator[[#This Row],[gun]]</f>
        <v>100mm BS-3</v>
      </c>
      <c r="C185" t="s">
        <v>502</v>
      </c>
      <c r="D185">
        <f>feildgunscalculator[[#This Row],[conscript]]</f>
        <v>115</v>
      </c>
      <c r="E185">
        <f>feildgunscalculator[[#This Row],[trained]]</f>
        <v>144</v>
      </c>
      <c r="F185">
        <f>feildgunscalculator[[#This Row],[experianced]]</f>
        <v>173</v>
      </c>
      <c r="G185">
        <f>feildgunscalculator[[#This Row],[veteran]]</f>
        <v>202</v>
      </c>
      <c r="I185" s="59"/>
      <c r="J185" s="59"/>
      <c r="K185" s="190" t="s">
        <v>354</v>
      </c>
      <c r="L185" s="51">
        <v>11</v>
      </c>
      <c r="M185" s="51">
        <v>1</v>
      </c>
      <c r="N185" s="51">
        <v>5</v>
      </c>
      <c r="O185" s="51">
        <v>44</v>
      </c>
      <c r="P185" s="119" t="s">
        <v>651</v>
      </c>
      <c r="Q185" s="51" t="s">
        <v>355</v>
      </c>
      <c r="R185" s="119">
        <f>(feildgunscalculator[[#This Row],[AP]]*feildgunscalculator[[#This Row],[AP]]+feildgunscalculator[[#This Row],[AUTO]])+(feildgunscalculator[[#This Row],[range]]/2)</f>
        <v>144</v>
      </c>
      <c r="S185" s="119">
        <f t="shared" si="81"/>
        <v>115</v>
      </c>
      <c r="T185" s="119">
        <f t="shared" si="82"/>
        <v>144</v>
      </c>
      <c r="U185" s="119">
        <f t="shared" si="83"/>
        <v>173</v>
      </c>
      <c r="V185" s="119">
        <f t="shared" si="80"/>
        <v>202</v>
      </c>
      <c r="W185" s="119"/>
      <c r="X185" s="119">
        <f t="shared" si="76"/>
        <v>115.2</v>
      </c>
      <c r="Y185" s="51">
        <f t="shared" si="84"/>
        <v>144</v>
      </c>
      <c r="Z185" s="51">
        <f t="shared" si="78"/>
        <v>172.79999999999998</v>
      </c>
      <c r="AA185" s="191">
        <f t="shared" si="79"/>
        <v>201.6</v>
      </c>
      <c r="AB185" s="117"/>
    </row>
    <row r="186" spans="1:32" x14ac:dyDescent="0.35">
      <c r="A186" t="str">
        <f ca="1">feildgunassets[[#This Row],[Column1]]&amp;"_"&amp;OFFSET(feildgunassets[[#This Row],[Column6]],0,setup!C$9)&amp;""</f>
        <v>20mm type 2_48</v>
      </c>
      <c r="B186" s="50" t="str">
        <f>feildgunscalculator[[#This Row],[gun]]</f>
        <v>20mm type 2</v>
      </c>
      <c r="C186" t="s">
        <v>502</v>
      </c>
      <c r="D186">
        <f>feildgunscalculator[[#This Row],[conscript]]</f>
        <v>38</v>
      </c>
      <c r="E186">
        <f>feildgunscalculator[[#This Row],[trained]]</f>
        <v>48</v>
      </c>
      <c r="F186">
        <f>feildgunscalculator[[#This Row],[experianced]]</f>
        <v>58</v>
      </c>
      <c r="G186">
        <f>feildgunscalculator[[#This Row],[veteran]]</f>
        <v>67</v>
      </c>
      <c r="I186" s="59"/>
      <c r="J186" s="59"/>
      <c r="K186" s="190" t="s">
        <v>361</v>
      </c>
      <c r="L186" s="51">
        <v>3</v>
      </c>
      <c r="M186" s="51">
        <v>25</v>
      </c>
      <c r="N186" s="51">
        <v>2</v>
      </c>
      <c r="O186" s="51">
        <v>28</v>
      </c>
      <c r="P186" s="119" t="s">
        <v>650</v>
      </c>
      <c r="Q186" s="51" t="s">
        <v>358</v>
      </c>
      <c r="R186" s="119">
        <f>(feildgunscalculator[[#This Row],[AP]]*feildgunscalculator[[#This Row],[AP]]+feildgunscalculator[[#This Row],[AUTO]])+(feildgunscalculator[[#This Row],[range]]/2)</f>
        <v>48</v>
      </c>
      <c r="S186" s="119">
        <f t="shared" si="81"/>
        <v>38</v>
      </c>
      <c r="T186" s="119">
        <f t="shared" si="82"/>
        <v>48</v>
      </c>
      <c r="U186" s="119">
        <f t="shared" si="83"/>
        <v>58</v>
      </c>
      <c r="V186" s="119">
        <f t="shared" si="80"/>
        <v>67</v>
      </c>
      <c r="W186" s="119"/>
      <c r="X186" s="119">
        <f t="shared" si="76"/>
        <v>38.400000000000006</v>
      </c>
      <c r="Y186" s="51">
        <f t="shared" si="84"/>
        <v>48</v>
      </c>
      <c r="Z186" s="51">
        <f t="shared" si="78"/>
        <v>57.599999999999994</v>
      </c>
      <c r="AA186" s="191">
        <f t="shared" si="79"/>
        <v>67.199999999999989</v>
      </c>
      <c r="AB186" s="117"/>
    </row>
    <row r="187" spans="1:32" x14ac:dyDescent="0.35">
      <c r="A187" t="str">
        <f ca="1">feildgunassets[[#This Row],[Column1]]&amp;"_"&amp;OFFSET(feildgunassets[[#This Row],[Column6]],0,setup!C$9)&amp;""</f>
        <v>37mm type 94_32</v>
      </c>
      <c r="B187" s="50" t="str">
        <f>feildgunscalculator[[#This Row],[gun]]</f>
        <v>37mm type 94</v>
      </c>
      <c r="C187" t="s">
        <v>502</v>
      </c>
      <c r="D187">
        <f>feildgunscalculator[[#This Row],[conscript]]</f>
        <v>26</v>
      </c>
      <c r="E187">
        <f>feildgunscalculator[[#This Row],[trained]]</f>
        <v>32</v>
      </c>
      <c r="F187">
        <f>feildgunscalculator[[#This Row],[experianced]]</f>
        <v>38</v>
      </c>
      <c r="G187">
        <f>feildgunscalculator[[#This Row],[veteran]]</f>
        <v>45</v>
      </c>
      <c r="I187" s="59"/>
      <c r="J187" s="59"/>
      <c r="K187" s="190" t="s">
        <v>356</v>
      </c>
      <c r="L187" s="51">
        <v>4</v>
      </c>
      <c r="M187" s="51">
        <v>1</v>
      </c>
      <c r="N187" s="51">
        <v>2</v>
      </c>
      <c r="O187" s="51">
        <v>30</v>
      </c>
      <c r="P187" s="119" t="s">
        <v>650</v>
      </c>
      <c r="Q187" s="51" t="s">
        <v>358</v>
      </c>
      <c r="R187" s="119">
        <f>(feildgunscalculator[[#This Row],[AP]]*feildgunscalculator[[#This Row],[AP]]+feildgunscalculator[[#This Row],[AUTO]])+(feildgunscalculator[[#This Row],[range]]/2)</f>
        <v>32</v>
      </c>
      <c r="S187" s="119">
        <f t="shared" si="81"/>
        <v>26</v>
      </c>
      <c r="T187" s="119">
        <f t="shared" si="82"/>
        <v>32</v>
      </c>
      <c r="U187" s="119">
        <f t="shared" si="83"/>
        <v>38</v>
      </c>
      <c r="V187" s="119">
        <f t="shared" si="80"/>
        <v>45</v>
      </c>
      <c r="W187" s="119"/>
      <c r="X187" s="119">
        <f t="shared" si="76"/>
        <v>25.6</v>
      </c>
      <c r="Y187" s="51">
        <f t="shared" si="84"/>
        <v>32</v>
      </c>
      <c r="Z187" s="51">
        <f t="shared" si="78"/>
        <v>38.4</v>
      </c>
      <c r="AA187" s="191">
        <f t="shared" si="79"/>
        <v>44.8</v>
      </c>
      <c r="AB187" s="117"/>
      <c r="AC187" s="117"/>
      <c r="AD187" s="117"/>
      <c r="AE187" s="117"/>
      <c r="AF187" s="117"/>
    </row>
    <row r="188" spans="1:32" x14ac:dyDescent="0.35">
      <c r="A188" t="str">
        <f ca="1">feildgunassets[[#This Row],[Column1]]&amp;"_"&amp;OFFSET(feildgunassets[[#This Row],[Column6]],0,setup!C$9)&amp;""</f>
        <v>75mm type 88_84</v>
      </c>
      <c r="B188" s="50" t="str">
        <f>feildgunscalculator[[#This Row],[gun]]</f>
        <v>75mm type 88</v>
      </c>
      <c r="C188" t="s">
        <v>502</v>
      </c>
      <c r="D188">
        <f>feildgunscalculator[[#This Row],[conscript]]</f>
        <v>67</v>
      </c>
      <c r="E188">
        <f>feildgunscalculator[[#This Row],[trained]]</f>
        <v>84</v>
      </c>
      <c r="F188">
        <f>feildgunscalculator[[#This Row],[experianced]]</f>
        <v>101</v>
      </c>
      <c r="G188">
        <f>feildgunscalculator[[#This Row],[veteran]]</f>
        <v>118</v>
      </c>
      <c r="I188" s="59"/>
      <c r="J188" s="59"/>
      <c r="K188" s="190" t="s">
        <v>357</v>
      </c>
      <c r="L188" s="51">
        <v>8</v>
      </c>
      <c r="M188" s="51">
        <v>1</v>
      </c>
      <c r="N188" s="51">
        <v>4</v>
      </c>
      <c r="O188" s="51">
        <v>38</v>
      </c>
      <c r="P188" s="119" t="s">
        <v>651</v>
      </c>
      <c r="Q188" s="51" t="s">
        <v>358</v>
      </c>
      <c r="R188" s="119">
        <f>(feildgunscalculator[[#This Row],[AP]]*feildgunscalculator[[#This Row],[AP]]+feildgunscalculator[[#This Row],[AUTO]])+(feildgunscalculator[[#This Row],[range]]/2)</f>
        <v>84</v>
      </c>
      <c r="S188" s="119">
        <f t="shared" si="81"/>
        <v>67</v>
      </c>
      <c r="T188" s="119">
        <f t="shared" si="82"/>
        <v>84</v>
      </c>
      <c r="U188" s="119">
        <f t="shared" si="83"/>
        <v>101</v>
      </c>
      <c r="V188" s="119">
        <f t="shared" si="80"/>
        <v>118</v>
      </c>
      <c r="W188" s="119"/>
      <c r="X188" s="119">
        <f t="shared" si="76"/>
        <v>67.2</v>
      </c>
      <c r="Y188" s="51">
        <f t="shared" si="84"/>
        <v>84</v>
      </c>
      <c r="Z188" s="51">
        <f t="shared" si="78"/>
        <v>100.8</v>
      </c>
      <c r="AA188" s="191">
        <f t="shared" si="79"/>
        <v>117.6</v>
      </c>
      <c r="AB188" s="117"/>
      <c r="AC188" s="117"/>
      <c r="AD188" s="117"/>
      <c r="AE188" s="117"/>
      <c r="AF188" s="117"/>
    </row>
    <row r="189" spans="1:32" x14ac:dyDescent="0.35">
      <c r="A189" t="str">
        <f ca="1">feildgunassets[[#This Row],[Column1]]&amp;"_"&amp;OFFSET(feildgunassets[[#This Row],[Column6]],0,setup!C$9)&amp;""</f>
        <v>20mm flak 30/38_48</v>
      </c>
      <c r="B189" s="50" t="str">
        <f>feildgunscalculator[[#This Row],[gun]]</f>
        <v>20mm flak 30/38</v>
      </c>
      <c r="C189" t="s">
        <v>502</v>
      </c>
      <c r="D189">
        <f>feildgunscalculator[[#This Row],[conscript]]</f>
        <v>38</v>
      </c>
      <c r="E189">
        <f>feildgunscalculator[[#This Row],[trained]]</f>
        <v>48</v>
      </c>
      <c r="F189">
        <f>feildgunscalculator[[#This Row],[experianced]]</f>
        <v>58</v>
      </c>
      <c r="G189">
        <f>feildgunscalculator[[#This Row],[veteran]]</f>
        <v>67</v>
      </c>
      <c r="K189" s="190" t="s">
        <v>346</v>
      </c>
      <c r="L189" s="51">
        <v>3</v>
      </c>
      <c r="M189" s="51">
        <v>25</v>
      </c>
      <c r="N189" s="51">
        <v>2</v>
      </c>
      <c r="O189" s="51">
        <v>28</v>
      </c>
      <c r="P189" s="119" t="s">
        <v>650</v>
      </c>
      <c r="Q189" s="51" t="s">
        <v>364</v>
      </c>
      <c r="R189" s="119">
        <f>(feildgunscalculator[[#This Row],[AP]]*feildgunscalculator[[#This Row],[AP]]+feildgunscalculator[[#This Row],[AUTO]])+(feildgunscalculator[[#This Row],[range]]/2)</f>
        <v>48</v>
      </c>
      <c r="S189" s="119">
        <f t="shared" si="81"/>
        <v>38</v>
      </c>
      <c r="T189" s="119">
        <f t="shared" si="82"/>
        <v>48</v>
      </c>
      <c r="U189" s="119">
        <f t="shared" si="83"/>
        <v>58</v>
      </c>
      <c r="V189" s="119">
        <f t="shared" si="80"/>
        <v>67</v>
      </c>
      <c r="W189" s="119"/>
      <c r="X189" s="119">
        <f t="shared" si="76"/>
        <v>38.400000000000006</v>
      </c>
      <c r="Y189" s="51">
        <f t="shared" si="84"/>
        <v>48</v>
      </c>
      <c r="Z189" s="51">
        <f t="shared" si="78"/>
        <v>57.599999999999994</v>
      </c>
      <c r="AA189" s="191">
        <f t="shared" si="79"/>
        <v>67.199999999999989</v>
      </c>
      <c r="AB189" s="117"/>
      <c r="AC189" s="117"/>
      <c r="AD189" s="117"/>
      <c r="AE189" s="117"/>
      <c r="AF189" s="117"/>
    </row>
    <row r="190" spans="1:32" x14ac:dyDescent="0.35">
      <c r="A190" t="str">
        <f ca="1">feildgunassets[[#This Row],[Column1]]&amp;"_"&amp;OFFSET(feildgunassets[[#This Row],[Column6]],0,setup!C$9)&amp;""</f>
        <v>37mm bofors_32</v>
      </c>
      <c r="B190" s="50" t="str">
        <f>feildgunscalculator[[#This Row],[gun]]</f>
        <v>37mm bofors</v>
      </c>
      <c r="C190" t="s">
        <v>502</v>
      </c>
      <c r="D190">
        <f>feildgunscalculator[[#This Row],[conscript]]</f>
        <v>26</v>
      </c>
      <c r="E190">
        <f>feildgunscalculator[[#This Row],[trained]]</f>
        <v>32</v>
      </c>
      <c r="F190">
        <f>feildgunscalculator[[#This Row],[experianced]]</f>
        <v>38</v>
      </c>
      <c r="G190">
        <f>feildgunscalculator[[#This Row],[veteran]]</f>
        <v>45</v>
      </c>
      <c r="K190" s="190" t="s">
        <v>359</v>
      </c>
      <c r="L190" s="51">
        <v>4</v>
      </c>
      <c r="M190" s="51">
        <v>1</v>
      </c>
      <c r="N190" s="51">
        <v>2</v>
      </c>
      <c r="O190" s="51">
        <v>30</v>
      </c>
      <c r="P190" s="119" t="s">
        <v>650</v>
      </c>
      <c r="Q190" s="51" t="s">
        <v>364</v>
      </c>
      <c r="R190" s="119">
        <f>(feildgunscalculator[[#This Row],[AP]]*feildgunscalculator[[#This Row],[AP]]+feildgunscalculator[[#This Row],[AUTO]])+(feildgunscalculator[[#This Row],[range]]/2)</f>
        <v>32</v>
      </c>
      <c r="S190" s="119">
        <f t="shared" si="81"/>
        <v>26</v>
      </c>
      <c r="T190" s="119">
        <f t="shared" si="82"/>
        <v>32</v>
      </c>
      <c r="U190" s="119">
        <f t="shared" si="83"/>
        <v>38</v>
      </c>
      <c r="V190" s="119">
        <f t="shared" si="80"/>
        <v>45</v>
      </c>
      <c r="W190" s="119"/>
      <c r="X190" s="119">
        <f t="shared" si="76"/>
        <v>25.6</v>
      </c>
      <c r="Y190" s="51">
        <f t="shared" si="84"/>
        <v>32</v>
      </c>
      <c r="Z190" s="51">
        <f t="shared" si="78"/>
        <v>38.4</v>
      </c>
      <c r="AA190" s="191">
        <f t="shared" si="79"/>
        <v>44.8</v>
      </c>
      <c r="AB190" s="117"/>
      <c r="AC190" s="117"/>
      <c r="AD190" s="117"/>
      <c r="AE190" s="117"/>
      <c r="AF190" s="117"/>
    </row>
    <row r="191" spans="1:32" x14ac:dyDescent="0.35">
      <c r="A191" t="str">
        <f ca="1">feildgunassets[[#This Row],[Column1]]&amp;"_"&amp;OFFSET(feildgunassets[[#This Row],[Column6]],0,setup!C$9)&amp;""</f>
        <v>45mm m1932_42</v>
      </c>
      <c r="B191" s="50" t="str">
        <f>feildgunscalculator[[#This Row],[gun]]</f>
        <v>45mm m1932</v>
      </c>
      <c r="C191" t="s">
        <v>502</v>
      </c>
      <c r="D191">
        <f>feildgunscalculator[[#This Row],[conscript]]</f>
        <v>34</v>
      </c>
      <c r="E191">
        <f>feildgunscalculator[[#This Row],[trained]]</f>
        <v>42</v>
      </c>
      <c r="F191">
        <f>feildgunscalculator[[#This Row],[experianced]]</f>
        <v>50</v>
      </c>
      <c r="G191">
        <f>feildgunscalculator[[#This Row],[veteran]]</f>
        <v>59</v>
      </c>
      <c r="K191" s="190" t="s">
        <v>360</v>
      </c>
      <c r="L191" s="51">
        <v>5</v>
      </c>
      <c r="M191" s="51">
        <v>1</v>
      </c>
      <c r="N191" s="51">
        <v>3</v>
      </c>
      <c r="O191" s="51">
        <v>32</v>
      </c>
      <c r="P191" s="119" t="s">
        <v>650</v>
      </c>
      <c r="Q191" s="51" t="s">
        <v>364</v>
      </c>
      <c r="R191" s="119">
        <f>(feildgunscalculator[[#This Row],[AP]]*feildgunscalculator[[#This Row],[AP]]+feildgunscalculator[[#This Row],[AUTO]])+(feildgunscalculator[[#This Row],[range]]/2)</f>
        <v>42</v>
      </c>
      <c r="S191" s="119">
        <f t="shared" si="81"/>
        <v>34</v>
      </c>
      <c r="T191" s="119">
        <f t="shared" si="82"/>
        <v>42</v>
      </c>
      <c r="U191" s="119">
        <f t="shared" si="83"/>
        <v>50</v>
      </c>
      <c r="V191" s="119">
        <f t="shared" si="80"/>
        <v>59</v>
      </c>
      <c r="W191" s="119"/>
      <c r="X191" s="119">
        <f t="shared" si="76"/>
        <v>33.6</v>
      </c>
      <c r="Y191" s="51">
        <f t="shared" si="84"/>
        <v>42</v>
      </c>
      <c r="Z191" s="51">
        <f t="shared" si="78"/>
        <v>50.4</v>
      </c>
      <c r="AA191" s="191">
        <f t="shared" si="79"/>
        <v>58.8</v>
      </c>
      <c r="AB191" s="117"/>
      <c r="AC191" s="117"/>
      <c r="AD191" s="117"/>
      <c r="AE191" s="117"/>
      <c r="AF191" s="117"/>
    </row>
    <row r="192" spans="1:32" ht="15" thickBot="1" x14ac:dyDescent="0.4">
      <c r="A192" t="str">
        <f ca="1">feildgunassets[[#This Row],[Column1]]&amp;"_"&amp;OFFSET(feildgunassets[[#This Row],[Column6]],0,setup!C$9)&amp;""</f>
        <v>75mm pak 40_102</v>
      </c>
      <c r="B192" s="50" t="str">
        <f>feildgunscalculator[[#This Row],[gun]]</f>
        <v>75mm pak 40</v>
      </c>
      <c r="C192" t="s">
        <v>502</v>
      </c>
      <c r="D192">
        <f>feildgunscalculator[[#This Row],[conscript]]</f>
        <v>82</v>
      </c>
      <c r="E192">
        <f>feildgunscalculator[[#This Row],[trained]]</f>
        <v>102</v>
      </c>
      <c r="F192">
        <f>feildgunscalculator[[#This Row],[experianced]]</f>
        <v>122</v>
      </c>
      <c r="G192">
        <f>feildgunscalculator[[#This Row],[veteran]]</f>
        <v>143</v>
      </c>
      <c r="K192" s="193" t="s">
        <v>344</v>
      </c>
      <c r="L192" s="194">
        <v>9</v>
      </c>
      <c r="M192" s="194">
        <v>1</v>
      </c>
      <c r="N192" s="194">
        <v>4</v>
      </c>
      <c r="O192" s="194">
        <v>40</v>
      </c>
      <c r="P192" s="119" t="s">
        <v>651</v>
      </c>
      <c r="Q192" s="194" t="s">
        <v>364</v>
      </c>
      <c r="R192" s="195">
        <f>(feildgunscalculator[[#This Row],[AP]]*feildgunscalculator[[#This Row],[AP]]+feildgunscalculator[[#This Row],[AUTO]])+(feildgunscalculator[[#This Row],[range]]/2)</f>
        <v>102</v>
      </c>
      <c r="S192" s="195">
        <f t="shared" si="81"/>
        <v>82</v>
      </c>
      <c r="T192" s="195">
        <f t="shared" si="82"/>
        <v>102</v>
      </c>
      <c r="U192" s="195">
        <f t="shared" si="83"/>
        <v>122</v>
      </c>
      <c r="V192" s="195">
        <f t="shared" si="80"/>
        <v>143</v>
      </c>
      <c r="W192" s="195"/>
      <c r="X192" s="195">
        <f t="shared" si="76"/>
        <v>81.600000000000009</v>
      </c>
      <c r="Y192" s="194">
        <f t="shared" si="84"/>
        <v>102</v>
      </c>
      <c r="Z192" s="194">
        <f t="shared" si="78"/>
        <v>122.39999999999999</v>
      </c>
      <c r="AA192" s="196">
        <f t="shared" si="79"/>
        <v>142.79999999999998</v>
      </c>
      <c r="AB192" s="117"/>
      <c r="AC192" s="117"/>
      <c r="AD192" s="117"/>
      <c r="AE192" s="117"/>
      <c r="AF192" s="117"/>
    </row>
    <row r="193" spans="1:32" x14ac:dyDescent="0.35">
      <c r="A193" s="197">
        <v>0</v>
      </c>
      <c r="B193">
        <v>0</v>
      </c>
      <c r="C193">
        <v>0</v>
      </c>
      <c r="D193" s="197">
        <v>0</v>
      </c>
      <c r="E193" s="197">
        <v>0</v>
      </c>
      <c r="F193" s="197">
        <v>0</v>
      </c>
      <c r="G193" s="197">
        <v>0</v>
      </c>
      <c r="K193" s="51"/>
      <c r="L193" s="51"/>
      <c r="M193" s="51"/>
      <c r="N193" s="51"/>
      <c r="O193" s="51"/>
      <c r="P193" s="51"/>
      <c r="Q193" s="51"/>
      <c r="R193" s="119"/>
      <c r="S193" s="119"/>
      <c r="T193" s="119"/>
      <c r="U193" s="119"/>
      <c r="V193" s="119"/>
      <c r="W193" s="119"/>
      <c r="X193" s="119"/>
      <c r="Y193" s="51"/>
      <c r="Z193" s="51"/>
      <c r="AA193" s="51"/>
      <c r="AB193" s="117"/>
      <c r="AC193" s="117"/>
      <c r="AD193" s="117"/>
      <c r="AE193" s="117"/>
      <c r="AF193" s="117"/>
    </row>
    <row r="194" spans="1:32" x14ac:dyDescent="0.35">
      <c r="A194" s="197"/>
      <c r="B194" s="1" t="s">
        <v>378</v>
      </c>
      <c r="D194" s="197"/>
      <c r="E194" s="197"/>
      <c r="F194" s="197"/>
      <c r="G194" s="197"/>
      <c r="AB194" s="117"/>
      <c r="AC194" s="117"/>
      <c r="AD194" s="117"/>
      <c r="AE194" s="117"/>
      <c r="AF194" s="117"/>
    </row>
    <row r="195" spans="1:32" x14ac:dyDescent="0.35">
      <c r="A195" t="s">
        <v>66</v>
      </c>
      <c r="B195" t="s">
        <v>15</v>
      </c>
      <c r="C195" t="s">
        <v>1</v>
      </c>
      <c r="D195" t="s">
        <v>30</v>
      </c>
      <c r="E195" t="s">
        <v>31</v>
      </c>
      <c r="F195" t="s">
        <v>32</v>
      </c>
      <c r="G195" t="s">
        <v>33</v>
      </c>
      <c r="AB195" s="117"/>
      <c r="AC195" s="117"/>
      <c r="AD195" s="117"/>
      <c r="AE195" s="117"/>
      <c r="AF195" s="117"/>
    </row>
    <row r="196" spans="1:32" x14ac:dyDescent="0.35">
      <c r="A196" t="str">
        <f ca="1">feildgunsquads[[#This Row],[Column1]]&amp;"_"&amp;OFFSET(feildgunsquads[[#This Row],[Column6]],0,setup!C$9)&amp;""</f>
        <v>20mm flak 30/38_152</v>
      </c>
      <c r="B196" s="50" t="str">
        <f t="shared" ref="B196:B222" si="85">K166</f>
        <v>20mm flak 30/38</v>
      </c>
      <c r="C196" t="s">
        <v>375</v>
      </c>
      <c r="D196">
        <f>S166+$D$27+(3*$D$22)</f>
        <v>127</v>
      </c>
      <c r="E196">
        <f>T166+$E$27+(3*$E$22)</f>
        <v>152</v>
      </c>
      <c r="F196">
        <f t="shared" ref="F196:G198" si="86">U166+$F$27+(3*$F$22)</f>
        <v>181</v>
      </c>
      <c r="G196">
        <f t="shared" si="86"/>
        <v>190</v>
      </c>
      <c r="AB196" s="117"/>
      <c r="AC196" s="117"/>
      <c r="AD196" s="117"/>
      <c r="AE196" s="117"/>
      <c r="AF196" s="117"/>
    </row>
    <row r="197" spans="1:32" x14ac:dyDescent="0.35">
      <c r="A197" t="str">
        <f ca="1">feildgunsquads[[#This Row],[Column1]]&amp;"_"&amp;OFFSET(feildgunsquads[[#This Row],[Column6]],0,setup!C$9)&amp;""</f>
        <v>37mm pak 36_136</v>
      </c>
      <c r="B197" s="50" t="str">
        <f t="shared" si="85"/>
        <v>37mm pak 36</v>
      </c>
      <c r="C197" t="s">
        <v>375</v>
      </c>
      <c r="D197">
        <f>S167+$D$27+(3*$D$22)</f>
        <v>115</v>
      </c>
      <c r="E197">
        <f>T167+$E$27+(3*$E$22)</f>
        <v>136</v>
      </c>
      <c r="F197">
        <f t="shared" si="86"/>
        <v>161</v>
      </c>
      <c r="G197">
        <f t="shared" si="86"/>
        <v>168</v>
      </c>
      <c r="I197" s="59"/>
      <c r="J197" s="59"/>
      <c r="AB197" s="117"/>
      <c r="AC197" s="117"/>
      <c r="AD197" s="117"/>
      <c r="AE197" s="117"/>
      <c r="AF197" s="117"/>
    </row>
    <row r="198" spans="1:32" x14ac:dyDescent="0.35">
      <c r="A198" t="str">
        <f ca="1">feildgunsquads[[#This Row],[Column1]]&amp;"_"&amp;OFFSET(feildgunsquads[[#This Row],[Column6]],0,setup!C$9)&amp;""</f>
        <v>50mm pak 38_146</v>
      </c>
      <c r="B198" s="50" t="str">
        <f t="shared" si="85"/>
        <v>50mm pak 38</v>
      </c>
      <c r="C198" t="s">
        <v>375</v>
      </c>
      <c r="D198">
        <f>S168+$D$27+(3*$D$22)</f>
        <v>123</v>
      </c>
      <c r="E198">
        <f>T168+$E$27+(3*$E$22)</f>
        <v>146</v>
      </c>
      <c r="F198">
        <f t="shared" si="86"/>
        <v>173</v>
      </c>
      <c r="G198">
        <f t="shared" si="86"/>
        <v>182</v>
      </c>
      <c r="I198" s="59"/>
      <c r="J198" s="59"/>
      <c r="AB198" s="117"/>
      <c r="AC198" s="117"/>
      <c r="AD198" s="117"/>
      <c r="AE198" s="117"/>
      <c r="AF198" s="117"/>
    </row>
    <row r="199" spans="1:32" x14ac:dyDescent="0.35">
      <c r="A199" t="str">
        <f ca="1">feildgunsquads[[#This Row],[Column1]]&amp;"_"&amp;OFFSET(feildgunsquads[[#This Row],[Column6]],0,setup!C$9)&amp;""</f>
        <v>75mm pak 40_219</v>
      </c>
      <c r="B199" s="50" t="str">
        <f t="shared" si="85"/>
        <v>75mm pak 40</v>
      </c>
      <c r="C199" t="s">
        <v>376</v>
      </c>
      <c r="D199">
        <f>S169+$D$27+(4*$D$22)</f>
        <v>181</v>
      </c>
      <c r="E199">
        <f>T169+$E$27+(4*$E$22)</f>
        <v>219</v>
      </c>
      <c r="F199">
        <f>U169+$F$27+(4*$F$22)</f>
        <v>262</v>
      </c>
      <c r="G199">
        <f>V169+$F$27+(4*$F$22)</f>
        <v>283</v>
      </c>
      <c r="I199" s="59"/>
      <c r="J199" s="59"/>
      <c r="AB199" s="117"/>
      <c r="AC199" s="117"/>
      <c r="AD199" s="117"/>
      <c r="AE199" s="117"/>
      <c r="AF199" s="117"/>
    </row>
    <row r="200" spans="1:32" x14ac:dyDescent="0.35">
      <c r="A200" t="str">
        <f ca="1">feildgunsquads[[#This Row],[Column1]]&amp;"_"&amp;OFFSET(feildgunsquads[[#This Row],[Column6]],0,setup!C$9)&amp;""</f>
        <v>88mm pak 43_261</v>
      </c>
      <c r="B200" s="50" t="str">
        <f t="shared" si="85"/>
        <v>88mm pak 43</v>
      </c>
      <c r="C200" t="s">
        <v>376</v>
      </c>
      <c r="D200">
        <f>S170+$D$27+(3*$D$22)</f>
        <v>204</v>
      </c>
      <c r="E200">
        <f>T170+$E$27+(4*$E$22)</f>
        <v>261</v>
      </c>
      <c r="F200">
        <f>U170+$F$27+(4*$F$22)</f>
        <v>313</v>
      </c>
      <c r="G200">
        <f>V170+$F$27+(4*$F$22)</f>
        <v>342</v>
      </c>
      <c r="I200" s="59"/>
      <c r="J200" s="59"/>
      <c r="AB200" s="117"/>
      <c r="AC200" s="117"/>
      <c r="AD200" s="117"/>
      <c r="AE200" s="117"/>
      <c r="AF200" s="117"/>
    </row>
    <row r="201" spans="1:32" x14ac:dyDescent="0.35">
      <c r="A201" t="str">
        <f ca="1">feildgunsquads[[#This Row],[Column1]]&amp;"_"&amp;OFFSET(feildgunsquads[[#This Row],[Column6]],0,setup!C$9)&amp;""</f>
        <v>20mm hispano_152</v>
      </c>
      <c r="B201" s="50" t="str">
        <f t="shared" si="85"/>
        <v>20mm hispano</v>
      </c>
      <c r="C201" t="s">
        <v>375</v>
      </c>
      <c r="D201">
        <f>S171+$D$27+(3*$D$22)</f>
        <v>127</v>
      </c>
      <c r="E201">
        <f>T171+$E$27+(3*$E$22)</f>
        <v>152</v>
      </c>
      <c r="F201">
        <f>U171+$F$27+(3*$F$22)</f>
        <v>181</v>
      </c>
      <c r="G201">
        <f>V171+$F$27+(3*$F$22)</f>
        <v>190</v>
      </c>
      <c r="I201" s="59"/>
      <c r="J201" s="59"/>
      <c r="AB201" s="117"/>
      <c r="AC201" s="117"/>
      <c r="AD201" s="117"/>
      <c r="AE201" s="117"/>
      <c r="AF201" s="117"/>
    </row>
    <row r="202" spans="1:32" x14ac:dyDescent="0.35">
      <c r="A202" t="str">
        <f ca="1">feildgunsquads[[#This Row],[Column1]]&amp;"_"&amp;OFFSET(feildgunsquads[[#This Row],[Column6]],0,setup!C$9)&amp;""</f>
        <v>37mm M3_136</v>
      </c>
      <c r="B202" s="50" t="str">
        <f t="shared" si="85"/>
        <v>37mm M3</v>
      </c>
      <c r="C202" t="s">
        <v>375</v>
      </c>
      <c r="D202">
        <f>S172+$D$27+(3*$D$22)</f>
        <v>115</v>
      </c>
      <c r="E202">
        <f>T172+$E$27+(3*$E$22)</f>
        <v>136</v>
      </c>
      <c r="F202">
        <f>U172+$F$27+(3*$F$22)</f>
        <v>161</v>
      </c>
      <c r="G202">
        <f>V172+$F$27+(3*$F$22)</f>
        <v>168</v>
      </c>
      <c r="I202" s="59"/>
      <c r="J202" s="59"/>
      <c r="AB202" s="117"/>
      <c r="AC202" s="117"/>
      <c r="AD202" s="117"/>
      <c r="AE202" s="117"/>
      <c r="AF202" s="117"/>
    </row>
    <row r="203" spans="1:32" x14ac:dyDescent="0.35">
      <c r="A203" t="str">
        <f ca="1">feildgunsquads[[#This Row],[Column1]]&amp;"_"&amp;OFFSET(feildgunsquads[[#This Row],[Column6]],0,setup!C$9)&amp;""</f>
        <v>57mm M1_171</v>
      </c>
      <c r="B203" s="50" t="str">
        <f t="shared" si="85"/>
        <v>57mm M1</v>
      </c>
      <c r="C203" t="s">
        <v>376</v>
      </c>
      <c r="D203">
        <f>S173+$D$27+(4*$D$22)</f>
        <v>142</v>
      </c>
      <c r="E203">
        <f>T173+$E$27+(4*$E$22)</f>
        <v>171</v>
      </c>
      <c r="F203">
        <f>U173+$F$27+(4*$F$22)</f>
        <v>205</v>
      </c>
      <c r="G203">
        <f>V173+$F$27+(4*$F$22)</f>
        <v>216</v>
      </c>
      <c r="I203" s="59"/>
      <c r="J203" s="59"/>
      <c r="AB203" s="117"/>
      <c r="AC203" s="117"/>
      <c r="AD203" s="117"/>
      <c r="AE203" s="117"/>
      <c r="AF203" s="117"/>
    </row>
    <row r="204" spans="1:32" x14ac:dyDescent="0.35">
      <c r="A204" t="str">
        <f ca="1">feildgunsquads[[#This Row],[Column1]]&amp;"_"&amp;OFFSET(feildgunsquads[[#This Row],[Column6]],0,setup!C$9)&amp;""</f>
        <v>76mm M5/M7_219</v>
      </c>
      <c r="B204" s="50" t="str">
        <f t="shared" si="85"/>
        <v>76mm M5/M7</v>
      </c>
      <c r="C204" t="s">
        <v>376</v>
      </c>
      <c r="D204">
        <f>S174+$D$27+(4*$D$22)</f>
        <v>181</v>
      </c>
      <c r="E204">
        <f>T174+$E$27+(4*$E$22)</f>
        <v>219</v>
      </c>
      <c r="F204">
        <f>U174+$F$27+(4*$F$22)</f>
        <v>262</v>
      </c>
      <c r="G204">
        <f>V174+$F$27+(4*$F$22)</f>
        <v>283</v>
      </c>
      <c r="I204" s="59"/>
      <c r="J204" s="59"/>
      <c r="AC204" s="117"/>
      <c r="AD204" s="117"/>
      <c r="AE204" s="117"/>
      <c r="AF204" s="117"/>
    </row>
    <row r="205" spans="1:32" x14ac:dyDescent="0.35">
      <c r="A205" t="str">
        <f ca="1">feildgunsquads[[#This Row],[Column1]]&amp;"_"&amp;OFFSET(feildgunsquads[[#This Row],[Column6]],0,setup!C$9)&amp;""</f>
        <v>20mm Oerlikon_152</v>
      </c>
      <c r="B205" s="50" t="str">
        <f t="shared" si="85"/>
        <v>20mm Oerlikon</v>
      </c>
      <c r="C205" t="s">
        <v>375</v>
      </c>
      <c r="D205">
        <f>S175+$D$27+(3*$D$22)</f>
        <v>127</v>
      </c>
      <c r="E205">
        <f>T175+$E$27+(3*$E$22)</f>
        <v>152</v>
      </c>
      <c r="F205">
        <f>U175+$F$27+(3*$F$22)</f>
        <v>181</v>
      </c>
      <c r="G205">
        <f>V175+$F$27+(3*$F$22)</f>
        <v>190</v>
      </c>
      <c r="I205" s="59"/>
      <c r="J205" s="59"/>
      <c r="AC205" s="117"/>
      <c r="AD205" s="117"/>
      <c r="AE205" s="117"/>
      <c r="AF205" s="117"/>
    </row>
    <row r="206" spans="1:32" x14ac:dyDescent="0.35">
      <c r="A206" t="str">
        <f ca="1">feildgunsquads[[#This Row],[Column1]]&amp;"_"&amp;OFFSET(feildgunsquads[[#This Row],[Column6]],0,setup!C$9)&amp;""</f>
        <v>QF 2-pounder_146</v>
      </c>
      <c r="B206" s="50" t="str">
        <f t="shared" si="85"/>
        <v>QF 2-pounder</v>
      </c>
      <c r="C206" t="s">
        <v>375</v>
      </c>
      <c r="D206">
        <f>S176+$D$27+(3*$D$22)</f>
        <v>123</v>
      </c>
      <c r="E206">
        <f>T176+$E$27+(3*$E$22)</f>
        <v>146</v>
      </c>
      <c r="F206">
        <f>U176+$F$27+(3*$F$22)</f>
        <v>173</v>
      </c>
      <c r="G206">
        <f>V176+$F$27+(3*$F$22)</f>
        <v>182</v>
      </c>
      <c r="I206" s="59"/>
      <c r="J206" s="59"/>
      <c r="AC206" s="117"/>
      <c r="AD206" s="117"/>
      <c r="AE206" s="117"/>
      <c r="AF206" s="117"/>
    </row>
    <row r="207" spans="1:32" x14ac:dyDescent="0.35">
      <c r="A207" t="str">
        <f ca="1">feildgunsquads[[#This Row],[Column1]]&amp;"_"&amp;OFFSET(feildgunsquads[[#This Row],[Column6]],0,setup!C$9)&amp;""</f>
        <v>QF 6 pounder_185</v>
      </c>
      <c r="B207" s="50" t="str">
        <f t="shared" si="85"/>
        <v>QF 6 pounder</v>
      </c>
      <c r="C207" t="s">
        <v>376</v>
      </c>
      <c r="D207">
        <f>S177+$D$27+(4*$D$22)</f>
        <v>153</v>
      </c>
      <c r="E207">
        <f>T177+$E$27+(4*$E$22)</f>
        <v>185</v>
      </c>
      <c r="F207">
        <f t="shared" ref="F207:G209" si="87">U177+$F$27+(4*$F$22)</f>
        <v>222</v>
      </c>
      <c r="G207">
        <f t="shared" si="87"/>
        <v>235</v>
      </c>
      <c r="J207" s="59"/>
      <c r="AC207" s="117"/>
      <c r="AD207" s="117"/>
      <c r="AE207" s="117"/>
      <c r="AF207" s="117"/>
    </row>
    <row r="208" spans="1:32" x14ac:dyDescent="0.35">
      <c r="A208" t="str">
        <f ca="1">feildgunsquads[[#This Row],[Column1]]&amp;"_"&amp;OFFSET(feildgunsquads[[#This Row],[Column6]],0,setup!C$9)&amp;""</f>
        <v>QF 17 pounder_261</v>
      </c>
      <c r="B208" s="50" t="str">
        <f t="shared" si="85"/>
        <v>QF 17 pounder</v>
      </c>
      <c r="C208" t="s">
        <v>376</v>
      </c>
      <c r="D208">
        <f>S178+$D$27+(4*$D$22)</f>
        <v>214</v>
      </c>
      <c r="E208">
        <f>T178+$E$27+(4*$E$22)</f>
        <v>261</v>
      </c>
      <c r="F208">
        <f t="shared" si="87"/>
        <v>313</v>
      </c>
      <c r="G208">
        <f t="shared" si="87"/>
        <v>342</v>
      </c>
      <c r="AC208" s="117"/>
      <c r="AD208" s="117"/>
      <c r="AE208" s="117"/>
      <c r="AF208" s="117"/>
    </row>
    <row r="209" spans="1:32" x14ac:dyDescent="0.35">
      <c r="A209" t="str">
        <f ca="1">feildgunsquads[[#This Row],[Column1]]&amp;"_"&amp;OFFSET(feildgunsquads[[#This Row],[Column6]],0,setup!C$9)&amp;""</f>
        <v>25mm m1940 72-k_165</v>
      </c>
      <c r="B209" s="50" t="str">
        <f t="shared" si="85"/>
        <v>25mm m1940 72-k</v>
      </c>
      <c r="C209" t="s">
        <v>375</v>
      </c>
      <c r="D209">
        <f>S179+$D$27+(4*$D$22)</f>
        <v>137</v>
      </c>
      <c r="E209">
        <f>T179+$E$27+(4*$E$22)</f>
        <v>165</v>
      </c>
      <c r="F209">
        <f t="shared" si="87"/>
        <v>198</v>
      </c>
      <c r="G209">
        <f t="shared" si="87"/>
        <v>207</v>
      </c>
      <c r="AC209" s="117"/>
      <c r="AD209" s="117"/>
      <c r="AE209" s="117"/>
      <c r="AF209" s="117"/>
    </row>
    <row r="210" spans="1:32" x14ac:dyDescent="0.35">
      <c r="A210" t="str">
        <f ca="1">feildgunsquads[[#This Row],[Column1]]&amp;"_"&amp;OFFSET(feildgunsquads[[#This Row],[Column6]],0,setup!C$9)&amp;""</f>
        <v>37mm M1930 1-k_136</v>
      </c>
      <c r="B210" s="50" t="str">
        <f t="shared" si="85"/>
        <v>37mm M1930 1-k</v>
      </c>
      <c r="C210" t="s">
        <v>375</v>
      </c>
      <c r="D210">
        <f>S180+$D$27+(3*$D$22)</f>
        <v>115</v>
      </c>
      <c r="E210">
        <f>T180+$E$27+(3*$E$22)</f>
        <v>136</v>
      </c>
      <c r="F210">
        <f>U180+$F$27+(3*$F$22)</f>
        <v>161</v>
      </c>
      <c r="G210">
        <f>V180+$F$27+(3*$F$22)</f>
        <v>168</v>
      </c>
      <c r="AC210" s="117"/>
      <c r="AD210" s="117"/>
      <c r="AE210" s="117"/>
      <c r="AF210" s="117"/>
    </row>
    <row r="211" spans="1:32" x14ac:dyDescent="0.35">
      <c r="A211" t="str">
        <f ca="1">feildgunsquads[[#This Row],[Column1]]&amp;"_"&amp;OFFSET(feildgunsquads[[#This Row],[Column6]],0,setup!C$9)&amp;""</f>
        <v>45mm M1932_146</v>
      </c>
      <c r="B211" s="50" t="str">
        <f t="shared" si="85"/>
        <v>45mm M1932</v>
      </c>
      <c r="C211" t="s">
        <v>375</v>
      </c>
      <c r="D211">
        <f>S181+$D$27+(3*$D$22)</f>
        <v>123</v>
      </c>
      <c r="E211">
        <f>T181+$E$27+(3*$E$22)</f>
        <v>146</v>
      </c>
      <c r="F211">
        <f>U181+$F$27+(3*$F$22)</f>
        <v>173</v>
      </c>
      <c r="G211">
        <f>V181+$F$27+(3*$F$22)</f>
        <v>182</v>
      </c>
      <c r="AC211" s="117"/>
      <c r="AD211" s="117"/>
      <c r="AE211" s="117"/>
      <c r="AF211" s="117"/>
    </row>
    <row r="212" spans="1:32" x14ac:dyDescent="0.35">
      <c r="A212" t="str">
        <f ca="1">feildgunsquads[[#This Row],[Column1]]&amp;"_"&amp;OFFSET(feildgunsquads[[#This Row],[Column6]],0,setup!C$9)&amp;""</f>
        <v>57mm ZiS-2_171</v>
      </c>
      <c r="B212" s="50" t="str">
        <f t="shared" si="85"/>
        <v>57mm ZiS-2</v>
      </c>
      <c r="C212" t="s">
        <v>376</v>
      </c>
      <c r="D212">
        <f>S182+$D$27+(4*$D$22)</f>
        <v>142</v>
      </c>
      <c r="E212">
        <f>T182+$E$27+(4*$E$22)</f>
        <v>171</v>
      </c>
      <c r="F212">
        <f t="shared" ref="F212:G215" si="88">U182+$F$27+(4*$F$22)</f>
        <v>205</v>
      </c>
      <c r="G212">
        <f t="shared" si="88"/>
        <v>216</v>
      </c>
      <c r="AC212" s="117"/>
      <c r="AD212" s="117"/>
      <c r="AE212" s="117"/>
      <c r="AF212" s="117"/>
    </row>
    <row r="213" spans="1:32" x14ac:dyDescent="0.35">
      <c r="A213" t="str">
        <f ca="1">feildgunsquads[[#This Row],[Column1]]&amp;"_"&amp;OFFSET(feildgunsquads[[#This Row],[Column6]],0,setup!C$9)&amp;""</f>
        <v>76.2mm Zis-3_201</v>
      </c>
      <c r="B213" s="50" t="str">
        <f t="shared" si="85"/>
        <v>76.2mm Zis-3</v>
      </c>
      <c r="C213" t="s">
        <v>376</v>
      </c>
      <c r="D213">
        <f>S183+$D$27+(4*$D$22)</f>
        <v>166</v>
      </c>
      <c r="E213">
        <f>T183+$E$27+(4*$E$22)</f>
        <v>201</v>
      </c>
      <c r="F213">
        <f t="shared" si="88"/>
        <v>241</v>
      </c>
      <c r="G213">
        <f t="shared" si="88"/>
        <v>258</v>
      </c>
      <c r="AC213" s="117"/>
      <c r="AD213" s="117"/>
      <c r="AE213" s="117"/>
      <c r="AF213" s="117"/>
    </row>
    <row r="214" spans="1:32" x14ac:dyDescent="0.35">
      <c r="A214" t="str">
        <f ca="1">feildgunsquads[[#This Row],[Column1]]&amp;"_"&amp;OFFSET(feildgunsquads[[#This Row],[Column6]],0,setup!C$9)&amp;""</f>
        <v>85mm D-44_239</v>
      </c>
      <c r="B214" s="50" t="str">
        <f t="shared" si="85"/>
        <v>85mm D-44</v>
      </c>
      <c r="C214" t="s">
        <v>376</v>
      </c>
      <c r="D214">
        <f>S184+$D$27+(4*$D$22)</f>
        <v>197</v>
      </c>
      <c r="E214">
        <f>T184+$E$27+(4*$E$22)</f>
        <v>239</v>
      </c>
      <c r="F214">
        <f t="shared" si="88"/>
        <v>286</v>
      </c>
      <c r="G214">
        <f t="shared" si="88"/>
        <v>311</v>
      </c>
    </row>
    <row r="215" spans="1:32" x14ac:dyDescent="0.35">
      <c r="A215" t="str">
        <f ca="1">feildgunsquads[[#This Row],[Column1]]&amp;"_"&amp;OFFSET(feildgunsquads[[#This Row],[Column6]],0,setup!C$9)&amp;""</f>
        <v>100mm BS-3_261</v>
      </c>
      <c r="B215" s="50" t="str">
        <f t="shared" si="85"/>
        <v>100mm BS-3</v>
      </c>
      <c r="C215" t="s">
        <v>376</v>
      </c>
      <c r="D215">
        <f>S185+$D$27+(4*$D$22)</f>
        <v>214</v>
      </c>
      <c r="E215">
        <f>T185+$E$27+(4*$E$22)</f>
        <v>261</v>
      </c>
      <c r="F215">
        <f t="shared" si="88"/>
        <v>313</v>
      </c>
      <c r="G215">
        <f t="shared" si="88"/>
        <v>342</v>
      </c>
    </row>
    <row r="216" spans="1:32" x14ac:dyDescent="0.35">
      <c r="A216" t="str">
        <f ca="1">feildgunsquads[[#This Row],[Column1]]&amp;"_"&amp;OFFSET(feildgunsquads[[#This Row],[Column6]],0,setup!C$9)&amp;""</f>
        <v>20mm type 2_152</v>
      </c>
      <c r="B216" s="50" t="str">
        <f t="shared" si="85"/>
        <v>20mm type 2</v>
      </c>
      <c r="C216" t="s">
        <v>375</v>
      </c>
      <c r="D216">
        <f>S186+$D$27+(3*$D$22)</f>
        <v>127</v>
      </c>
      <c r="E216">
        <f>T186+$E$27+(3*$E$22)</f>
        <v>152</v>
      </c>
      <c r="F216">
        <f>U186+$F$27+(3*$F$22)</f>
        <v>181</v>
      </c>
      <c r="G216">
        <f>V186+$F$27+(3*$F$22)</f>
        <v>190</v>
      </c>
    </row>
    <row r="217" spans="1:32" x14ac:dyDescent="0.35">
      <c r="A217" t="str">
        <f ca="1">feildgunsquads[[#This Row],[Column1]]&amp;"_"&amp;OFFSET(feildgunsquads[[#This Row],[Column6]],0,setup!C$9)&amp;""</f>
        <v>37mm type 94_136</v>
      </c>
      <c r="B217" s="50" t="str">
        <f t="shared" si="85"/>
        <v>37mm type 94</v>
      </c>
      <c r="C217" t="s">
        <v>375</v>
      </c>
      <c r="D217">
        <f>S187+$D$27+(3*$D$22)</f>
        <v>115</v>
      </c>
      <c r="E217">
        <f>T187+$E$27+(3*$E$22)</f>
        <v>136</v>
      </c>
      <c r="F217">
        <f>U187+$F$27+(3*$F$22)</f>
        <v>161</v>
      </c>
      <c r="G217">
        <f>V187+$F$27+(3*$F$22)</f>
        <v>168</v>
      </c>
    </row>
    <row r="218" spans="1:32" x14ac:dyDescent="0.35">
      <c r="A218" t="str">
        <f ca="1">feildgunsquads[[#This Row],[Column1]]&amp;"_"&amp;OFFSET(feildgunsquads[[#This Row],[Column6]],0,setup!C$9)&amp;""</f>
        <v>75mm type 88_201</v>
      </c>
      <c r="B218" s="50" t="str">
        <f t="shared" si="85"/>
        <v>75mm type 88</v>
      </c>
      <c r="C218" t="s">
        <v>376</v>
      </c>
      <c r="D218">
        <f>S188+$D$27+(4*$D$22)</f>
        <v>166</v>
      </c>
      <c r="E218">
        <f>T188+$E$27+(4*$E$22)</f>
        <v>201</v>
      </c>
      <c r="F218">
        <f>U188+$F$27+(4*$F$22)</f>
        <v>241</v>
      </c>
      <c r="G218">
        <f>V188+$F$27+(4*$F$22)</f>
        <v>258</v>
      </c>
    </row>
    <row r="219" spans="1:32" x14ac:dyDescent="0.35">
      <c r="A219" t="str">
        <f ca="1">feildgunsquads[[#This Row],[Column1]]&amp;"_"&amp;OFFSET(feildgunsquads[[#This Row],[Column6]],0,setup!C$9)&amp;""</f>
        <v>20mm flak 30/38_152</v>
      </c>
      <c r="B219" s="50" t="str">
        <f t="shared" si="85"/>
        <v>20mm flak 30/38</v>
      </c>
      <c r="C219" t="s">
        <v>375</v>
      </c>
      <c r="D219">
        <f>S189+$D$27+(3*$D$22)</f>
        <v>127</v>
      </c>
      <c r="E219">
        <f>T189+$E$27+(3*$E$22)</f>
        <v>152</v>
      </c>
      <c r="F219">
        <f t="shared" ref="F219:G221" si="89">U189+$F$27+(3*$F$22)</f>
        <v>181</v>
      </c>
      <c r="G219">
        <f t="shared" si="89"/>
        <v>190</v>
      </c>
    </row>
    <row r="220" spans="1:32" x14ac:dyDescent="0.35">
      <c r="A220" t="str">
        <f ca="1">feildgunsquads[[#This Row],[Column1]]&amp;"_"&amp;OFFSET(feildgunsquads[[#This Row],[Column6]],0,setup!C$9)&amp;""</f>
        <v>37mm bofors_136</v>
      </c>
      <c r="B220" s="50" t="str">
        <f t="shared" si="85"/>
        <v>37mm bofors</v>
      </c>
      <c r="C220" t="s">
        <v>375</v>
      </c>
      <c r="D220">
        <f>S190+$D$27+(3*$D$22)</f>
        <v>115</v>
      </c>
      <c r="E220">
        <f>T190+$E$27+(3*$E$22)</f>
        <v>136</v>
      </c>
      <c r="F220">
        <f t="shared" si="89"/>
        <v>161</v>
      </c>
      <c r="G220">
        <f t="shared" si="89"/>
        <v>168</v>
      </c>
    </row>
    <row r="221" spans="1:32" x14ac:dyDescent="0.35">
      <c r="A221" t="str">
        <f ca="1">feildgunsquads[[#This Row],[Column1]]&amp;"_"&amp;OFFSET(feildgunsquads[[#This Row],[Column6]],0,setup!C$9)&amp;""</f>
        <v>45mm m1932_146</v>
      </c>
      <c r="B221" s="50" t="str">
        <f t="shared" si="85"/>
        <v>45mm m1932</v>
      </c>
      <c r="C221" t="s">
        <v>375</v>
      </c>
      <c r="D221">
        <f>S191+$D$27+(3*$D$22)</f>
        <v>123</v>
      </c>
      <c r="E221">
        <f>T191+$E$27+(3*$E$22)</f>
        <v>146</v>
      </c>
      <c r="F221">
        <f t="shared" si="89"/>
        <v>173</v>
      </c>
      <c r="G221">
        <f t="shared" si="89"/>
        <v>182</v>
      </c>
    </row>
    <row r="222" spans="1:32" x14ac:dyDescent="0.35">
      <c r="A222" t="str">
        <f ca="1">feildgunsquads[[#This Row],[Column1]]&amp;"_"&amp;OFFSET(feildgunsquads[[#This Row],[Column6]],0,setup!C$9)&amp;""</f>
        <v>75mm pak 40_219</v>
      </c>
      <c r="B222" s="50" t="str">
        <f t="shared" si="85"/>
        <v>75mm pak 40</v>
      </c>
      <c r="C222" t="s">
        <v>376</v>
      </c>
      <c r="D222">
        <f>S192+$D$27+(4*$D$22)</f>
        <v>181</v>
      </c>
      <c r="E222">
        <f>T192+$E$27+(4*$E$22)</f>
        <v>219</v>
      </c>
      <c r="F222">
        <f>U192+$F$27+(4*$F$22)</f>
        <v>262</v>
      </c>
      <c r="G222">
        <f>V192+$F$27+(4*$F$22)</f>
        <v>283</v>
      </c>
    </row>
    <row r="223" spans="1:32" x14ac:dyDescent="0.35">
      <c r="A223" s="197">
        <v>0</v>
      </c>
      <c r="B223">
        <v>0</v>
      </c>
      <c r="C223">
        <v>0</v>
      </c>
      <c r="D223" s="197">
        <v>0</v>
      </c>
      <c r="E223" s="197">
        <v>0</v>
      </c>
      <c r="F223" s="197">
        <v>0</v>
      </c>
      <c r="G223" s="197">
        <v>0</v>
      </c>
    </row>
    <row r="224" spans="1:32" x14ac:dyDescent="0.35">
      <c r="B224" s="1" t="s">
        <v>539</v>
      </c>
    </row>
    <row r="225" spans="1:7" x14ac:dyDescent="0.35">
      <c r="A225" t="s">
        <v>15</v>
      </c>
      <c r="B225" t="s">
        <v>16</v>
      </c>
      <c r="C225" t="s">
        <v>20</v>
      </c>
      <c r="D225" t="s">
        <v>538</v>
      </c>
      <c r="E225" t="s">
        <v>65</v>
      </c>
      <c r="F225" t="s">
        <v>66</v>
      </c>
      <c r="G225" t="s">
        <v>121</v>
      </c>
    </row>
    <row r="226" spans="1:7" x14ac:dyDescent="0.35">
      <c r="A226" t="str">
        <f ca="1">'SF1'!$F$6&amp;"_"&amp;built_SF[[#This Row],[Column4]]&amp;""</f>
        <v>experienced, _72</v>
      </c>
      <c r="B226" t="s">
        <v>540</v>
      </c>
      <c r="C226" t="str">
        <f>'SF1'!H6</f>
        <v>Squad Leader, , , , , , , , , , , , , , , , , , ,</v>
      </c>
      <c r="D226">
        <f ca="1">'SF1'!$G$6</f>
        <v>72</v>
      </c>
      <c r="E226">
        <f ca="1">'SF1'!$G$6</f>
        <v>72</v>
      </c>
      <c r="F226">
        <f ca="1">'SF1'!$G$6</f>
        <v>72</v>
      </c>
      <c r="G226">
        <f ca="1">'SF1'!$G$6</f>
        <v>72</v>
      </c>
    </row>
    <row r="227" spans="1:7" x14ac:dyDescent="0.35">
      <c r="A227" t="str">
        <f ca="1">'SF2'!$F$6&amp;"_"&amp;built_SF[[#This Row],[Column4]]&amp;""</f>
        <v>experienced, _72</v>
      </c>
      <c r="B227" t="s">
        <v>541</v>
      </c>
      <c r="C227" t="str">
        <f>'SF2'!H6</f>
        <v>Squad Leader, , , , , , , , , , , , , , , , , , ,</v>
      </c>
      <c r="D227">
        <f ca="1">'SF2'!$G$6</f>
        <v>72</v>
      </c>
      <c r="E227">
        <f ca="1">'SF2'!$G$6</f>
        <v>72</v>
      </c>
      <c r="F227">
        <f ca="1">'SF2'!$G$6</f>
        <v>72</v>
      </c>
      <c r="G227">
        <f ca="1">'SF2'!$G$6</f>
        <v>72</v>
      </c>
    </row>
    <row r="228" spans="1:7" x14ac:dyDescent="0.35">
      <c r="A228" t="str">
        <f ca="1">'SF3'!$F$6&amp;"_"&amp;built_SF[[#This Row],[Column4]]&amp;""</f>
        <v>conscript, _59</v>
      </c>
      <c r="B228" t="s">
        <v>542</v>
      </c>
      <c r="C228" t="str">
        <f>'SF3'!H6</f>
        <v>Squad Leader, , , , , , , , , , , , , , , , , , ,</v>
      </c>
      <c r="D228">
        <f ca="1">'SF3'!$G$6</f>
        <v>59</v>
      </c>
      <c r="E228">
        <f ca="1">'SF3'!$G$6</f>
        <v>59</v>
      </c>
      <c r="F228">
        <f ca="1">'SF3'!$G$6</f>
        <v>59</v>
      </c>
      <c r="G228">
        <f ca="1">'SF3'!$G$6</f>
        <v>59</v>
      </c>
    </row>
    <row r="229" spans="1:7" x14ac:dyDescent="0.35">
      <c r="A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1" spans="1:7" x14ac:dyDescent="0.35">
      <c r="B231" s="1" t="s">
        <v>680</v>
      </c>
    </row>
    <row r="232" spans="1:7" x14ac:dyDescent="0.35">
      <c r="A232" s="74" t="s">
        <v>66</v>
      </c>
      <c r="B232" s="184" t="s">
        <v>15</v>
      </c>
      <c r="C232" s="183" t="s">
        <v>335</v>
      </c>
      <c r="D232" s="74" t="s">
        <v>30</v>
      </c>
      <c r="E232" s="74" t="s">
        <v>31</v>
      </c>
      <c r="F232" s="74" t="s">
        <v>32</v>
      </c>
      <c r="G232" s="74" t="s">
        <v>33</v>
      </c>
    </row>
    <row r="233" spans="1:7" x14ac:dyDescent="0.35">
      <c r="A233" s="79" t="str">
        <f ca="1">specialforces[[#This Row],[Column1]]&amp;"_"&amp;OFFSET(specialforces[[#This Row],[Column12]],0,'SF1'!$C$2-2)&amp;""</f>
        <v>rifle_17</v>
      </c>
      <c r="B233" s="22" t="s">
        <v>34</v>
      </c>
      <c r="C233" s="26"/>
      <c r="D233" s="74">
        <f>D$22</f>
        <v>10</v>
      </c>
      <c r="E233" s="74">
        <f t="shared" ref="E233:G233" si="90">E$22</f>
        <v>13</v>
      </c>
      <c r="F233" s="74">
        <f t="shared" si="90"/>
        <v>17</v>
      </c>
      <c r="G233" s="74">
        <f t="shared" si="90"/>
        <v>20</v>
      </c>
    </row>
    <row r="234" spans="1:7" x14ac:dyDescent="0.35">
      <c r="A234" s="79" t="str">
        <f ca="1">specialforces[[#This Row],[Column1]]&amp;"_"&amp;OFFSET(specialforces[[#This Row],[Column12]],0,'SF1'!$C$2-2)&amp;""</f>
        <v>automatic rifle_25</v>
      </c>
      <c r="B234" s="22" t="s">
        <v>264</v>
      </c>
      <c r="C234" s="26"/>
      <c r="D234" s="74">
        <f>D$23</f>
        <v>15</v>
      </c>
      <c r="E234" s="74">
        <f t="shared" ref="E234:G234" si="91">E$23</f>
        <v>20</v>
      </c>
      <c r="F234" s="74">
        <f t="shared" si="91"/>
        <v>25</v>
      </c>
      <c r="G234" s="74">
        <f t="shared" si="91"/>
        <v>30</v>
      </c>
    </row>
    <row r="235" spans="1:7" x14ac:dyDescent="0.35">
      <c r="A235" s="79" t="str">
        <f ca="1">specialforces[[#This Row],[Column1]]&amp;"_"&amp;OFFSET(specialforces[[#This Row],[Column12]],0,'SF1'!$C$2-2)&amp;""</f>
        <v>smg_27</v>
      </c>
      <c r="B235" s="73" t="s">
        <v>35</v>
      </c>
      <c r="C235" s="33"/>
      <c r="D235" s="74">
        <f>D$24</f>
        <v>14</v>
      </c>
      <c r="E235" s="74">
        <f t="shared" ref="E235:G235" si="92">E$24</f>
        <v>20</v>
      </c>
      <c r="F235" s="74">
        <f t="shared" si="92"/>
        <v>27</v>
      </c>
      <c r="G235" s="74">
        <f t="shared" si="92"/>
        <v>34</v>
      </c>
    </row>
    <row r="236" spans="1:7" x14ac:dyDescent="0.35">
      <c r="A236" s="79" t="str">
        <f ca="1">specialforces[[#This Row],[Column1]]&amp;"_"&amp;OFFSET(specialforces[[#This Row],[Column12]],0,'SF1'!$C$2-2)&amp;""</f>
        <v>lmg_42</v>
      </c>
      <c r="B236" s="22" t="s">
        <v>36</v>
      </c>
      <c r="C236" s="26"/>
      <c r="D236" s="74">
        <f>D$25</f>
        <v>25</v>
      </c>
      <c r="E236" s="74">
        <f t="shared" ref="E236:G236" si="93">E$25</f>
        <v>33</v>
      </c>
      <c r="F236" s="74">
        <f t="shared" si="93"/>
        <v>42</v>
      </c>
      <c r="G236" s="74">
        <f t="shared" si="93"/>
        <v>50</v>
      </c>
    </row>
    <row r="237" spans="1:7" x14ac:dyDescent="0.35">
      <c r="A237" s="79" t="str">
        <f ca="1">specialforces[[#This Row],[Column1]]&amp;"_"&amp;OFFSET(specialforces[[#This Row],[Column12]],0,'SF1'!$C$2-2)&amp;""</f>
        <v>Spotter_36</v>
      </c>
      <c r="B237" s="73" t="s">
        <v>51</v>
      </c>
      <c r="C237" s="33"/>
      <c r="D237" s="74">
        <f>D26</f>
        <v>25</v>
      </c>
      <c r="E237" s="74">
        <f t="shared" ref="E237:G237" si="94">E26</f>
        <v>30</v>
      </c>
      <c r="F237" s="74">
        <f t="shared" si="94"/>
        <v>36</v>
      </c>
      <c r="G237" s="74">
        <f t="shared" si="94"/>
        <v>41</v>
      </c>
    </row>
    <row r="238" spans="1:7" x14ac:dyDescent="0.35">
      <c r="A238" s="218">
        <v>0</v>
      </c>
      <c r="B238" s="13">
        <v>0</v>
      </c>
      <c r="C238" s="13">
        <v>0</v>
      </c>
      <c r="D238" s="198">
        <v>0</v>
      </c>
      <c r="E238" s="198">
        <v>0</v>
      </c>
      <c r="F238" s="198">
        <v>0</v>
      </c>
      <c r="G238" s="198">
        <v>0</v>
      </c>
    </row>
    <row r="240" spans="1:7" x14ac:dyDescent="0.35">
      <c r="A240" s="74" t="s">
        <v>66</v>
      </c>
      <c r="B240" s="184" t="s">
        <v>15</v>
      </c>
      <c r="C240" s="183" t="s">
        <v>335</v>
      </c>
      <c r="D240" s="74" t="s">
        <v>30</v>
      </c>
      <c r="E240" s="74" t="s">
        <v>31</v>
      </c>
      <c r="F240" s="74" t="s">
        <v>32</v>
      </c>
      <c r="G240" s="74" t="s">
        <v>33</v>
      </c>
    </row>
    <row r="241" spans="1:7" x14ac:dyDescent="0.35">
      <c r="A241" s="79" t="str">
        <f ca="1">specialforcesassetteams[[#This Row],[Column1]]&amp;"_"&amp;OFFSET(specialforcesassetteams[[#This Row],[Column12]],0,'SF1'!$C$2-2)&amp;""</f>
        <v>mmg team_69</v>
      </c>
      <c r="B241" s="22" t="s">
        <v>258</v>
      </c>
      <c r="C241" s="26"/>
      <c r="D241" s="74">
        <f>D$16+D$22</f>
        <v>41</v>
      </c>
      <c r="E241" s="74">
        <f t="shared" ref="E241:G241" si="95">E$16+E$22</f>
        <v>55</v>
      </c>
      <c r="F241" s="74">
        <f t="shared" si="95"/>
        <v>69</v>
      </c>
      <c r="G241" s="74">
        <f t="shared" si="95"/>
        <v>81</v>
      </c>
    </row>
    <row r="242" spans="1:7" x14ac:dyDescent="0.35">
      <c r="A242" s="79" t="str">
        <f ca="1">specialforcesassetteams[[#This Row],[Column1]]&amp;"_"&amp;OFFSET(specialforcesassetteams[[#This Row],[Column12]],0,'SF1'!$C$2-2)&amp;""</f>
        <v>hmg team_78</v>
      </c>
      <c r="B242" s="73" t="s">
        <v>259</v>
      </c>
      <c r="C242" s="33"/>
      <c r="D242" s="74">
        <f>D$17+D$22</f>
        <v>47</v>
      </c>
      <c r="E242" s="74">
        <f t="shared" ref="E242:G242" si="96">E$17+E$22</f>
        <v>62</v>
      </c>
      <c r="F242" s="74">
        <f t="shared" si="96"/>
        <v>78</v>
      </c>
      <c r="G242" s="74">
        <f t="shared" si="96"/>
        <v>92</v>
      </c>
    </row>
    <row r="243" spans="1:7" x14ac:dyDescent="0.35">
      <c r="A243" s="79" t="str">
        <f ca="1">specialforcesassetteams[[#This Row],[Column1]]&amp;"_"&amp;OFFSET(specialforcesassetteams[[#This Row],[Column12]],0,'SF1'!$C$2-2)&amp;""</f>
        <v>sniper_44</v>
      </c>
      <c r="B243" s="22" t="s">
        <v>37</v>
      </c>
      <c r="C243" s="26"/>
      <c r="D243" s="74">
        <f>D$18</f>
        <v>37</v>
      </c>
      <c r="E243" s="74">
        <f t="shared" ref="E243:G243" si="97">E$18</f>
        <v>40</v>
      </c>
      <c r="F243" s="74">
        <f t="shared" si="97"/>
        <v>44</v>
      </c>
      <c r="G243" s="74">
        <f t="shared" si="97"/>
        <v>45</v>
      </c>
    </row>
    <row r="244" spans="1:7" x14ac:dyDescent="0.35">
      <c r="A244" s="79" t="str">
        <f ca="1">specialforcesassetteams[[#This Row],[Column1]]&amp;"_"&amp;OFFSET(specialforcesassetteams[[#This Row],[Column12]],0,'SF1'!$C$2-2)&amp;""</f>
        <v>mpat team_56</v>
      </c>
      <c r="B244" s="73" t="s">
        <v>260</v>
      </c>
      <c r="C244" s="33"/>
      <c r="D244" s="74">
        <f>D$19+D$22</f>
        <v>42</v>
      </c>
      <c r="E244" s="74">
        <f t="shared" ref="E244:G244" si="98">E$19+E$22</f>
        <v>48</v>
      </c>
      <c r="F244" s="74">
        <f t="shared" si="98"/>
        <v>56</v>
      </c>
      <c r="G244" s="74">
        <f t="shared" si="98"/>
        <v>62</v>
      </c>
    </row>
    <row r="245" spans="1:7" x14ac:dyDescent="0.35">
      <c r="A245" s="79" t="str">
        <f ca="1">specialforcesassetteams[[#This Row],[Column1]]&amp;"_"&amp;OFFSET(specialforcesassetteams[[#This Row],[Column12]],0,'SF1'!$C$2-2)&amp;""</f>
        <v>flame thrower team_75</v>
      </c>
      <c r="B245" s="22" t="s">
        <v>261</v>
      </c>
      <c r="C245" s="26"/>
      <c r="D245" s="74">
        <f>D$20+D$22</f>
        <v>55</v>
      </c>
      <c r="E245" s="74">
        <f t="shared" ref="E245:G245" si="99">E$20+E$22</f>
        <v>65</v>
      </c>
      <c r="F245" s="74">
        <f t="shared" si="99"/>
        <v>75</v>
      </c>
      <c r="G245" s="74">
        <f t="shared" si="99"/>
        <v>85</v>
      </c>
    </row>
    <row r="246" spans="1:7" x14ac:dyDescent="0.35">
      <c r="A246" s="79" t="str">
        <f ca="1">specialforcesassetteams[[#This Row],[Column1]]&amp;"_"&amp;OFFSET(specialforcesassetteams[[#This Row],[Column12]],0,'SF1'!$C$2-2)&amp;""</f>
        <v>mortar team_88</v>
      </c>
      <c r="B246" s="73" t="s">
        <v>262</v>
      </c>
      <c r="C246" s="33"/>
      <c r="D246" s="74">
        <f>D$21+D$22</f>
        <v>68</v>
      </c>
      <c r="E246" s="74">
        <f t="shared" ref="E246:G246" si="100">E$21+E$22</f>
        <v>78</v>
      </c>
      <c r="F246" s="74">
        <f t="shared" si="100"/>
        <v>88</v>
      </c>
      <c r="G246" s="74">
        <f t="shared" si="100"/>
        <v>98</v>
      </c>
    </row>
    <row r="247" spans="1:7" x14ac:dyDescent="0.35">
      <c r="A247" s="219">
        <v>0</v>
      </c>
      <c r="B247" s="78">
        <v>0</v>
      </c>
      <c r="C247" s="33">
        <v>0</v>
      </c>
      <c r="D247" s="74">
        <v>0</v>
      </c>
      <c r="E247" s="74">
        <v>0</v>
      </c>
      <c r="F247" s="74">
        <v>0</v>
      </c>
      <c r="G247" s="74">
        <v>0</v>
      </c>
    </row>
    <row r="249" spans="1:7" x14ac:dyDescent="0.35">
      <c r="B249" s="1" t="s">
        <v>681</v>
      </c>
    </row>
    <row r="250" spans="1:7" x14ac:dyDescent="0.35">
      <c r="A250" s="74" t="s">
        <v>66</v>
      </c>
      <c r="B250" s="184" t="s">
        <v>15</v>
      </c>
      <c r="C250" s="183" t="s">
        <v>335</v>
      </c>
      <c r="D250" s="74" t="s">
        <v>30</v>
      </c>
      <c r="E250" s="74" t="s">
        <v>31</v>
      </c>
      <c r="F250" s="74" t="s">
        <v>32</v>
      </c>
      <c r="G250" s="74" t="s">
        <v>33</v>
      </c>
    </row>
    <row r="251" spans="1:7" x14ac:dyDescent="0.35">
      <c r="A251" s="79" t="str">
        <f ca="1">specialforces41[[#This Row],[Column1]]&amp;"_"&amp;OFFSET(specialforces41[[#This Row],[Column12]],0,'SF2'!$C$2-2)&amp;""</f>
        <v>rifle_17</v>
      </c>
      <c r="B251" s="22" t="s">
        <v>34</v>
      </c>
      <c r="C251" s="26"/>
      <c r="D251" s="74">
        <f>D$22</f>
        <v>10</v>
      </c>
      <c r="E251" s="74">
        <f t="shared" ref="E251:G251" si="101">E$22</f>
        <v>13</v>
      </c>
      <c r="F251" s="74">
        <f t="shared" si="101"/>
        <v>17</v>
      </c>
      <c r="G251" s="74">
        <f t="shared" si="101"/>
        <v>20</v>
      </c>
    </row>
    <row r="252" spans="1:7" x14ac:dyDescent="0.35">
      <c r="A252" s="79" t="str">
        <f ca="1">specialforces41[[#This Row],[Column1]]&amp;"_"&amp;OFFSET(specialforces41[[#This Row],[Column12]],0,'SF2'!$C$2-2)&amp;""</f>
        <v>automatic rifle_25</v>
      </c>
      <c r="B252" s="22" t="s">
        <v>264</v>
      </c>
      <c r="C252" s="26"/>
      <c r="D252" s="74">
        <f>D$23</f>
        <v>15</v>
      </c>
      <c r="E252" s="74">
        <f t="shared" ref="E252:G252" si="102">E$23</f>
        <v>20</v>
      </c>
      <c r="F252" s="74">
        <f t="shared" si="102"/>
        <v>25</v>
      </c>
      <c r="G252" s="74">
        <f t="shared" si="102"/>
        <v>30</v>
      </c>
    </row>
    <row r="253" spans="1:7" x14ac:dyDescent="0.35">
      <c r="A253" s="79" t="str">
        <f ca="1">specialforces41[[#This Row],[Column1]]&amp;"_"&amp;OFFSET(specialforces41[[#This Row],[Column12]],0,'SF2'!$C$2-2)&amp;""</f>
        <v>smg_27</v>
      </c>
      <c r="B253" s="73" t="s">
        <v>35</v>
      </c>
      <c r="C253" s="33"/>
      <c r="D253" s="74">
        <f>D$24</f>
        <v>14</v>
      </c>
      <c r="E253" s="74">
        <f t="shared" ref="E253:G253" si="103">E$24</f>
        <v>20</v>
      </c>
      <c r="F253" s="74">
        <f t="shared" si="103"/>
        <v>27</v>
      </c>
      <c r="G253" s="74">
        <f t="shared" si="103"/>
        <v>34</v>
      </c>
    </row>
    <row r="254" spans="1:7" x14ac:dyDescent="0.35">
      <c r="A254" s="79" t="str">
        <f ca="1">specialforces41[[#This Row],[Column1]]&amp;"_"&amp;OFFSET(specialforces41[[#This Row],[Column12]],0,'SF2'!$C$2-2)&amp;""</f>
        <v>lmg_42</v>
      </c>
      <c r="B254" s="22" t="s">
        <v>36</v>
      </c>
      <c r="C254" s="26"/>
      <c r="D254" s="74">
        <f>D$25</f>
        <v>25</v>
      </c>
      <c r="E254" s="74">
        <f t="shared" ref="E254:G254" si="104">E$25</f>
        <v>33</v>
      </c>
      <c r="F254" s="74">
        <f t="shared" si="104"/>
        <v>42</v>
      </c>
      <c r="G254" s="74">
        <f t="shared" si="104"/>
        <v>50</v>
      </c>
    </row>
    <row r="255" spans="1:7" x14ac:dyDescent="0.35">
      <c r="A255" s="79" t="str">
        <f ca="1">specialforces41[[#This Row],[Column1]]&amp;"_"&amp;OFFSET(specialforces41[[#This Row],[Column12]],0,'SF2'!$C$2-2)&amp;""</f>
        <v>Spotter_36</v>
      </c>
      <c r="B255" s="73" t="s">
        <v>51</v>
      </c>
      <c r="C255" s="33"/>
      <c r="D255" s="74">
        <f>D$26</f>
        <v>25</v>
      </c>
      <c r="E255" s="74">
        <f t="shared" ref="E255:G255" si="105">E$26</f>
        <v>30</v>
      </c>
      <c r="F255" s="74">
        <f t="shared" si="105"/>
        <v>36</v>
      </c>
      <c r="G255" s="74">
        <f t="shared" si="105"/>
        <v>41</v>
      </c>
    </row>
    <row r="256" spans="1:7" x14ac:dyDescent="0.35">
      <c r="A256" s="218">
        <v>0</v>
      </c>
      <c r="B256" s="13">
        <v>0</v>
      </c>
      <c r="C256" s="13">
        <v>0</v>
      </c>
      <c r="D256" s="198">
        <v>0</v>
      </c>
      <c r="E256" s="198">
        <v>0</v>
      </c>
      <c r="F256" s="198">
        <v>0</v>
      </c>
      <c r="G256" s="198">
        <v>0</v>
      </c>
    </row>
    <row r="258" spans="1:7" x14ac:dyDescent="0.35">
      <c r="A258" s="74" t="s">
        <v>66</v>
      </c>
      <c r="B258" s="184" t="s">
        <v>15</v>
      </c>
      <c r="C258" s="183" t="s">
        <v>335</v>
      </c>
      <c r="D258" s="74" t="s">
        <v>30</v>
      </c>
      <c r="E258" s="74" t="s">
        <v>31</v>
      </c>
      <c r="F258" s="74" t="s">
        <v>32</v>
      </c>
      <c r="G258" s="74" t="s">
        <v>33</v>
      </c>
    </row>
    <row r="259" spans="1:7" x14ac:dyDescent="0.35">
      <c r="A259" s="79" t="str">
        <f ca="1">specialforcesassetteams42[[#This Row],[Column1]]&amp;"_"&amp;OFFSET(specialforcesassetteams42[[#This Row],[Column12]],0,'SF2'!$C$2-2)&amp;""</f>
        <v>mmg team_69</v>
      </c>
      <c r="B259" s="22" t="s">
        <v>258</v>
      </c>
      <c r="C259" s="26"/>
      <c r="D259" s="74">
        <f>D$16+D$22</f>
        <v>41</v>
      </c>
      <c r="E259" s="74">
        <f t="shared" ref="E259:G259" si="106">E$16+E$22</f>
        <v>55</v>
      </c>
      <c r="F259" s="74">
        <f t="shared" si="106"/>
        <v>69</v>
      </c>
      <c r="G259" s="74">
        <f t="shared" si="106"/>
        <v>81</v>
      </c>
    </row>
    <row r="260" spans="1:7" x14ac:dyDescent="0.35">
      <c r="A260" s="79" t="str">
        <f ca="1">specialforcesassetteams42[[#This Row],[Column1]]&amp;"_"&amp;OFFSET(specialforcesassetteams42[[#This Row],[Column12]],0,'SF2'!$C$2-2)&amp;""</f>
        <v>hmg team_78</v>
      </c>
      <c r="B260" s="73" t="s">
        <v>259</v>
      </c>
      <c r="C260" s="33"/>
      <c r="D260" s="74">
        <f>D$17+D$22</f>
        <v>47</v>
      </c>
      <c r="E260" s="74">
        <f t="shared" ref="E260:G260" si="107">E$17+E$22</f>
        <v>62</v>
      </c>
      <c r="F260" s="74">
        <f t="shared" si="107"/>
        <v>78</v>
      </c>
      <c r="G260" s="74">
        <f t="shared" si="107"/>
        <v>92</v>
      </c>
    </row>
    <row r="261" spans="1:7" x14ac:dyDescent="0.35">
      <c r="A261" s="79" t="str">
        <f ca="1">specialforcesassetteams42[[#This Row],[Column1]]&amp;"_"&amp;OFFSET(specialforcesassetteams42[[#This Row],[Column12]],0,'SF2'!$C$2-2)&amp;""</f>
        <v>sniper_44</v>
      </c>
      <c r="B261" s="22" t="s">
        <v>37</v>
      </c>
      <c r="C261" s="26"/>
      <c r="D261" s="74">
        <f>D$18</f>
        <v>37</v>
      </c>
      <c r="E261" s="74">
        <f t="shared" ref="E261:G261" si="108">E$18</f>
        <v>40</v>
      </c>
      <c r="F261" s="74">
        <f t="shared" si="108"/>
        <v>44</v>
      </c>
      <c r="G261" s="74">
        <f t="shared" si="108"/>
        <v>45</v>
      </c>
    </row>
    <row r="262" spans="1:7" x14ac:dyDescent="0.35">
      <c r="A262" s="79" t="str">
        <f ca="1">specialforcesassetteams42[[#This Row],[Column1]]&amp;"_"&amp;OFFSET(specialforcesassetteams42[[#This Row],[Column12]],0,'SF2'!$C$2-2)&amp;""</f>
        <v>mpat team_56</v>
      </c>
      <c r="B262" s="73" t="s">
        <v>260</v>
      </c>
      <c r="C262" s="33"/>
      <c r="D262" s="74">
        <f>D$19+D$22</f>
        <v>42</v>
      </c>
      <c r="E262" s="74">
        <f t="shared" ref="E262:G262" si="109">E$19+E$22</f>
        <v>48</v>
      </c>
      <c r="F262" s="74">
        <f t="shared" si="109"/>
        <v>56</v>
      </c>
      <c r="G262" s="74">
        <f t="shared" si="109"/>
        <v>62</v>
      </c>
    </row>
    <row r="263" spans="1:7" x14ac:dyDescent="0.35">
      <c r="A263" s="79" t="str">
        <f ca="1">specialforcesassetteams42[[#This Row],[Column1]]&amp;"_"&amp;OFFSET(specialforcesassetteams42[[#This Row],[Column12]],0,'SF2'!$C$2-2)&amp;""</f>
        <v>flame thrower team_75</v>
      </c>
      <c r="B263" s="22" t="s">
        <v>261</v>
      </c>
      <c r="C263" s="26"/>
      <c r="D263" s="74">
        <f>D$20+D$22</f>
        <v>55</v>
      </c>
      <c r="E263" s="74">
        <f t="shared" ref="E263:G263" si="110">E$20+E$22</f>
        <v>65</v>
      </c>
      <c r="F263" s="74">
        <f t="shared" si="110"/>
        <v>75</v>
      </c>
      <c r="G263" s="74">
        <f t="shared" si="110"/>
        <v>85</v>
      </c>
    </row>
    <row r="264" spans="1:7" x14ac:dyDescent="0.35">
      <c r="A264" s="79" t="str">
        <f ca="1">specialforcesassetteams42[[#This Row],[Column1]]&amp;"_"&amp;OFFSET(specialforcesassetteams42[[#This Row],[Column12]],0,'SF2'!$C$2-2)&amp;""</f>
        <v>mortar team_88</v>
      </c>
      <c r="B264" s="73" t="s">
        <v>262</v>
      </c>
      <c r="C264" s="33"/>
      <c r="D264" s="74">
        <f>D$21+D$22</f>
        <v>68</v>
      </c>
      <c r="E264" s="74">
        <f t="shared" ref="E264:G264" si="111">E$21+E$22</f>
        <v>78</v>
      </c>
      <c r="F264" s="74">
        <f t="shared" si="111"/>
        <v>88</v>
      </c>
      <c r="G264" s="74">
        <f t="shared" si="111"/>
        <v>98</v>
      </c>
    </row>
    <row r="265" spans="1:7" x14ac:dyDescent="0.35">
      <c r="A265" s="219">
        <v>0</v>
      </c>
      <c r="B265" s="78">
        <v>0</v>
      </c>
      <c r="C265" s="33">
        <v>0</v>
      </c>
      <c r="D265" s="74">
        <v>0</v>
      </c>
      <c r="E265" s="74">
        <v>0</v>
      </c>
      <c r="F265" s="74">
        <v>0</v>
      </c>
      <c r="G265" s="74">
        <v>0</v>
      </c>
    </row>
    <row r="267" spans="1:7" x14ac:dyDescent="0.35">
      <c r="B267" s="1" t="s">
        <v>682</v>
      </c>
    </row>
    <row r="268" spans="1:7" x14ac:dyDescent="0.35">
      <c r="A268" s="74" t="s">
        <v>66</v>
      </c>
      <c r="B268" s="184" t="s">
        <v>15</v>
      </c>
      <c r="C268" s="183" t="s">
        <v>335</v>
      </c>
      <c r="D268" s="74" t="s">
        <v>30</v>
      </c>
      <c r="E268" s="74" t="s">
        <v>31</v>
      </c>
      <c r="F268" s="74" t="s">
        <v>32</v>
      </c>
      <c r="G268" s="74" t="s">
        <v>33</v>
      </c>
    </row>
    <row r="269" spans="1:7" x14ac:dyDescent="0.35">
      <c r="A269" s="79" t="str">
        <f ca="1">specialforces43[[#This Row],[Column1]]&amp;"_"&amp;OFFSET(specialforces43[[#This Row],[Column12]],0,'SF3'!$C$2-2)&amp;""</f>
        <v>rifle_10</v>
      </c>
      <c r="B269" s="22" t="s">
        <v>34</v>
      </c>
      <c r="C269" s="26"/>
      <c r="D269" s="74">
        <f>D$22</f>
        <v>10</v>
      </c>
      <c r="E269" s="74">
        <f t="shared" ref="E269:G269" si="112">E$22</f>
        <v>13</v>
      </c>
      <c r="F269" s="74">
        <f t="shared" si="112"/>
        <v>17</v>
      </c>
      <c r="G269" s="74">
        <f t="shared" si="112"/>
        <v>20</v>
      </c>
    </row>
    <row r="270" spans="1:7" x14ac:dyDescent="0.35">
      <c r="A270" s="79" t="str">
        <f ca="1">specialforces43[[#This Row],[Column1]]&amp;"_"&amp;OFFSET(specialforces43[[#This Row],[Column12]],0,'SF3'!$C$2-2)&amp;""</f>
        <v>automatic rifle_15</v>
      </c>
      <c r="B270" s="22" t="s">
        <v>264</v>
      </c>
      <c r="C270" s="26"/>
      <c r="D270" s="74">
        <f>D$23</f>
        <v>15</v>
      </c>
      <c r="E270" s="74">
        <f t="shared" ref="E270:G270" si="113">E$23</f>
        <v>20</v>
      </c>
      <c r="F270" s="74">
        <f t="shared" si="113"/>
        <v>25</v>
      </c>
      <c r="G270" s="74">
        <f t="shared" si="113"/>
        <v>30</v>
      </c>
    </row>
    <row r="271" spans="1:7" x14ac:dyDescent="0.35">
      <c r="A271" s="79" t="str">
        <f ca="1">specialforces43[[#This Row],[Column1]]&amp;"_"&amp;OFFSET(specialforces43[[#This Row],[Column12]],0,'SF3'!$C$2-2)&amp;""</f>
        <v>smg_14</v>
      </c>
      <c r="B271" s="73" t="s">
        <v>35</v>
      </c>
      <c r="C271" s="33"/>
      <c r="D271" s="74">
        <f>D$24</f>
        <v>14</v>
      </c>
      <c r="E271" s="74">
        <f t="shared" ref="E271:G271" si="114">E$24</f>
        <v>20</v>
      </c>
      <c r="F271" s="74">
        <f t="shared" si="114"/>
        <v>27</v>
      </c>
      <c r="G271" s="74">
        <f t="shared" si="114"/>
        <v>34</v>
      </c>
    </row>
    <row r="272" spans="1:7" x14ac:dyDescent="0.35">
      <c r="A272" s="79" t="str">
        <f ca="1">specialforces43[[#This Row],[Column1]]&amp;"_"&amp;OFFSET(specialforces43[[#This Row],[Column12]],0,'SF3'!$C$2-2)&amp;""</f>
        <v>lmg_25</v>
      </c>
      <c r="B272" s="22" t="s">
        <v>36</v>
      </c>
      <c r="C272" s="26"/>
      <c r="D272" s="74">
        <f>D$25</f>
        <v>25</v>
      </c>
      <c r="E272" s="74">
        <f t="shared" ref="E272:G272" si="115">E$25</f>
        <v>33</v>
      </c>
      <c r="F272" s="74">
        <f t="shared" si="115"/>
        <v>42</v>
      </c>
      <c r="G272" s="74">
        <f t="shared" si="115"/>
        <v>50</v>
      </c>
    </row>
    <row r="273" spans="1:7" x14ac:dyDescent="0.35">
      <c r="A273" s="79" t="str">
        <f ca="1">specialforces43[[#This Row],[Column1]]&amp;"_"&amp;OFFSET(specialforces43[[#This Row],[Column12]],0,'SF3'!$C$2-2)&amp;""</f>
        <v>Spotter_25</v>
      </c>
      <c r="B273" s="73" t="s">
        <v>51</v>
      </c>
      <c r="C273" s="33"/>
      <c r="D273" s="74">
        <f>D$26</f>
        <v>25</v>
      </c>
      <c r="E273" s="74">
        <f t="shared" ref="E273:G273" si="116">E$26</f>
        <v>30</v>
      </c>
      <c r="F273" s="74">
        <f t="shared" si="116"/>
        <v>36</v>
      </c>
      <c r="G273" s="74">
        <f t="shared" si="116"/>
        <v>41</v>
      </c>
    </row>
    <row r="274" spans="1:7" x14ac:dyDescent="0.35">
      <c r="A274" s="218">
        <v>0</v>
      </c>
      <c r="B274" s="13">
        <v>0</v>
      </c>
      <c r="C274" s="13">
        <v>0</v>
      </c>
      <c r="D274" s="198">
        <v>0</v>
      </c>
      <c r="E274" s="198">
        <v>0</v>
      </c>
      <c r="F274" s="198">
        <v>0</v>
      </c>
      <c r="G274" s="198">
        <v>0</v>
      </c>
    </row>
    <row r="276" spans="1:7" x14ac:dyDescent="0.35">
      <c r="A276" s="74" t="s">
        <v>66</v>
      </c>
      <c r="B276" s="184" t="s">
        <v>15</v>
      </c>
      <c r="C276" s="183" t="s">
        <v>335</v>
      </c>
      <c r="D276" s="74" t="s">
        <v>30</v>
      </c>
      <c r="E276" s="74" t="s">
        <v>31</v>
      </c>
      <c r="F276" s="74" t="s">
        <v>32</v>
      </c>
      <c r="G276" s="74" t="s">
        <v>33</v>
      </c>
    </row>
    <row r="277" spans="1:7" x14ac:dyDescent="0.35">
      <c r="A277" s="79" t="str">
        <f ca="1">specialforcesassetteams44[[#This Row],[Column1]]&amp;"_"&amp;OFFSET(specialforcesassetteams44[[#This Row],[Column12]],0,'SF3'!$C$2-2)&amp;""</f>
        <v>mmg team_41</v>
      </c>
      <c r="B277" s="22" t="s">
        <v>258</v>
      </c>
      <c r="C277" s="26"/>
      <c r="D277" s="74">
        <f>D$16+D$22</f>
        <v>41</v>
      </c>
      <c r="E277" s="74">
        <f t="shared" ref="E277:G277" si="117">E$16+E$22</f>
        <v>55</v>
      </c>
      <c r="F277" s="74">
        <f t="shared" si="117"/>
        <v>69</v>
      </c>
      <c r="G277" s="74">
        <f t="shared" si="117"/>
        <v>81</v>
      </c>
    </row>
    <row r="278" spans="1:7" x14ac:dyDescent="0.35">
      <c r="A278" s="79" t="str">
        <f ca="1">specialforcesassetteams44[[#This Row],[Column1]]&amp;"_"&amp;OFFSET(specialforcesassetteams44[[#This Row],[Column12]],0,'SF3'!$C$2-2)&amp;""</f>
        <v>hmg team_47</v>
      </c>
      <c r="B278" s="73" t="s">
        <v>259</v>
      </c>
      <c r="C278" s="33"/>
      <c r="D278" s="74">
        <f>D$17+D$22</f>
        <v>47</v>
      </c>
      <c r="E278" s="74">
        <f t="shared" ref="E278:G278" si="118">E$17+E$22</f>
        <v>62</v>
      </c>
      <c r="F278" s="74">
        <f t="shared" si="118"/>
        <v>78</v>
      </c>
      <c r="G278" s="74">
        <f t="shared" si="118"/>
        <v>92</v>
      </c>
    </row>
    <row r="279" spans="1:7" x14ac:dyDescent="0.35">
      <c r="A279" s="79" t="str">
        <f ca="1">specialforcesassetteams44[[#This Row],[Column1]]&amp;"_"&amp;OFFSET(specialforcesassetteams44[[#This Row],[Column12]],0,'SF3'!$C$2-2)&amp;""</f>
        <v>sniper_37</v>
      </c>
      <c r="B279" s="22" t="s">
        <v>37</v>
      </c>
      <c r="C279" s="26"/>
      <c r="D279" s="74">
        <f>D$18</f>
        <v>37</v>
      </c>
      <c r="E279" s="74">
        <f t="shared" ref="E279:G279" si="119">E$18</f>
        <v>40</v>
      </c>
      <c r="F279" s="74">
        <f t="shared" si="119"/>
        <v>44</v>
      </c>
      <c r="G279" s="74">
        <f t="shared" si="119"/>
        <v>45</v>
      </c>
    </row>
    <row r="280" spans="1:7" x14ac:dyDescent="0.35">
      <c r="A280" s="79" t="str">
        <f ca="1">specialforcesassetteams44[[#This Row],[Column1]]&amp;"_"&amp;OFFSET(specialforcesassetteams44[[#This Row],[Column12]],0,'SF3'!$C$2-2)&amp;""</f>
        <v>mpat team_42</v>
      </c>
      <c r="B280" s="73" t="s">
        <v>260</v>
      </c>
      <c r="C280" s="33"/>
      <c r="D280" s="74">
        <f>D$19+D$22</f>
        <v>42</v>
      </c>
      <c r="E280" s="74">
        <f t="shared" ref="E280:G280" si="120">E$19+E$22</f>
        <v>48</v>
      </c>
      <c r="F280" s="74">
        <f t="shared" si="120"/>
        <v>56</v>
      </c>
      <c r="G280" s="74">
        <f t="shared" si="120"/>
        <v>62</v>
      </c>
    </row>
    <row r="281" spans="1:7" x14ac:dyDescent="0.35">
      <c r="A281" s="79" t="str">
        <f ca="1">specialforcesassetteams44[[#This Row],[Column1]]&amp;"_"&amp;OFFSET(specialforcesassetteams44[[#This Row],[Column12]],0,'SF3'!$C$2-2)&amp;""</f>
        <v>flame thrower team_55</v>
      </c>
      <c r="B281" s="22" t="s">
        <v>261</v>
      </c>
      <c r="C281" s="26"/>
      <c r="D281" s="74">
        <f>D$20+D$22</f>
        <v>55</v>
      </c>
      <c r="E281" s="74">
        <f t="shared" ref="E281:G281" si="121">E$20+E$22</f>
        <v>65</v>
      </c>
      <c r="F281" s="74">
        <f t="shared" si="121"/>
        <v>75</v>
      </c>
      <c r="G281" s="74">
        <f t="shared" si="121"/>
        <v>85</v>
      </c>
    </row>
    <row r="282" spans="1:7" x14ac:dyDescent="0.35">
      <c r="A282" s="79" t="str">
        <f ca="1">specialforcesassetteams44[[#This Row],[Column1]]&amp;"_"&amp;OFFSET(specialforcesassetteams44[[#This Row],[Column12]],0,'SF3'!$C$2-2)&amp;""</f>
        <v>mortar team_68</v>
      </c>
      <c r="B282" s="73" t="s">
        <v>262</v>
      </c>
      <c r="C282" s="33"/>
      <c r="D282" s="74">
        <f>D$21+D$22</f>
        <v>68</v>
      </c>
      <c r="E282" s="74">
        <f t="shared" ref="E282:G282" si="122">E$21+E$22</f>
        <v>78</v>
      </c>
      <c r="F282" s="74">
        <f>F$21+F$22</f>
        <v>88</v>
      </c>
      <c r="G282" s="74">
        <f t="shared" si="122"/>
        <v>98</v>
      </c>
    </row>
    <row r="283" spans="1:7" x14ac:dyDescent="0.35">
      <c r="A283" s="219">
        <v>0</v>
      </c>
      <c r="B283" s="78">
        <v>0</v>
      </c>
      <c r="C283" s="33">
        <v>0</v>
      </c>
      <c r="D283" s="74">
        <v>0</v>
      </c>
      <c r="E283" s="74">
        <v>0</v>
      </c>
      <c r="F283" s="74">
        <v>0</v>
      </c>
      <c r="G283" s="74">
        <v>0</v>
      </c>
    </row>
  </sheetData>
  <pageMargins left="0.7" right="0.7" top="0.75" bottom="0.75" header="0.3" footer="0.3"/>
  <pageSetup paperSize="9" orientation="portrait" r:id="rId1"/>
  <ignoredErrors>
    <ignoredError sqref="A125" calculatedColumn="1"/>
  </ignoredErrors>
  <tableParts count="2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5"/>
  <sheetViews>
    <sheetView workbookViewId="0">
      <selection activeCell="H10" sqref="H10"/>
    </sheetView>
  </sheetViews>
  <sheetFormatPr defaultRowHeight="14.5" x14ac:dyDescent="0.35"/>
  <cols>
    <col min="1" max="1" width="8.7265625" customWidth="1"/>
  </cols>
  <sheetData>
    <row r="1" spans="1:8" x14ac:dyDescent="0.35">
      <c r="A1" s="213" t="s">
        <v>529</v>
      </c>
      <c r="H1" s="1" t="s">
        <v>530</v>
      </c>
    </row>
    <row r="2" spans="1:8" x14ac:dyDescent="0.35">
      <c r="A2" s="214"/>
      <c r="H2" t="s">
        <v>386</v>
      </c>
    </row>
    <row r="3" spans="1:8" x14ac:dyDescent="0.35">
      <c r="A3" s="214" t="s">
        <v>255</v>
      </c>
      <c r="H3" t="s">
        <v>387</v>
      </c>
    </row>
    <row r="4" spans="1:8" x14ac:dyDescent="0.35">
      <c r="A4" s="214" t="s">
        <v>256</v>
      </c>
      <c r="H4" t="s">
        <v>388</v>
      </c>
    </row>
    <row r="5" spans="1:8" x14ac:dyDescent="0.35">
      <c r="A5" s="214"/>
      <c r="H5" t="s">
        <v>389</v>
      </c>
    </row>
    <row r="6" spans="1:8" x14ac:dyDescent="0.35">
      <c r="A6" s="214"/>
      <c r="H6" t="s">
        <v>545</v>
      </c>
    </row>
    <row r="7" spans="1:8" x14ac:dyDescent="0.35">
      <c r="A7" s="214"/>
      <c r="H7" t="s">
        <v>572</v>
      </c>
    </row>
    <row r="8" spans="1:8" x14ac:dyDescent="0.35">
      <c r="A8" s="214"/>
      <c r="H8" t="s">
        <v>573</v>
      </c>
    </row>
    <row r="9" spans="1:8" x14ac:dyDescent="0.35">
      <c r="A9" s="214"/>
      <c r="H9" t="s">
        <v>574</v>
      </c>
    </row>
    <row r="10" spans="1:8" x14ac:dyDescent="0.35">
      <c r="A10" s="214"/>
    </row>
    <row r="11" spans="1:8" x14ac:dyDescent="0.35">
      <c r="A11" s="214"/>
    </row>
    <row r="12" spans="1:8" x14ac:dyDescent="0.35">
      <c r="A12" s="214"/>
    </row>
    <row r="13" spans="1:8" x14ac:dyDescent="0.35">
      <c r="A13" s="214"/>
    </row>
    <row r="14" spans="1:8" x14ac:dyDescent="0.35">
      <c r="A14" s="214"/>
    </row>
    <row r="15" spans="1:8" x14ac:dyDescent="0.35">
      <c r="A15" s="2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303</vt:i4>
      </vt:variant>
    </vt:vector>
  </HeadingPairs>
  <TitlesOfParts>
    <vt:vector size="309" baseType="lpstr">
      <vt:lpstr>setup</vt:lpstr>
      <vt:lpstr>Infantry</vt:lpstr>
      <vt:lpstr>SF1</vt:lpstr>
      <vt:lpstr>SF2</vt:lpstr>
      <vt:lpstr>data cards</vt:lpstr>
      <vt:lpstr>matched play generator</vt:lpstr>
      <vt:lpstr>finlandAirbourneasset</vt:lpstr>
      <vt:lpstr>finlandAirbourneAsset_Squad</vt:lpstr>
      <vt:lpstr>finlandAirbourneasset_team</vt:lpstr>
      <vt:lpstr>finlandAirbournecommander</vt:lpstr>
      <vt:lpstr>finlandAirbournespecial_forces</vt:lpstr>
      <vt:lpstr>finlandAirbournespecial_forces_1</vt:lpstr>
      <vt:lpstr>finlandAirbournespecial_forces_2</vt:lpstr>
      <vt:lpstr>finlandAirbournespecial_forces_3</vt:lpstr>
      <vt:lpstr>finlandAirbournestandard_squad</vt:lpstr>
      <vt:lpstr>finlandarmourcommander</vt:lpstr>
      <vt:lpstr>finlandarmourtanks</vt:lpstr>
      <vt:lpstr>finlandBattle_groupasset</vt:lpstr>
      <vt:lpstr>finlandBattle_groupasset_gun</vt:lpstr>
      <vt:lpstr>finlandBattle_groupAsset_Squad</vt:lpstr>
      <vt:lpstr>finlandBattle_groupasset_team</vt:lpstr>
      <vt:lpstr>finlandBattle_groupcommander</vt:lpstr>
      <vt:lpstr>finlandBattle_groupfeild_gun</vt:lpstr>
      <vt:lpstr>finlandBattle_groupfeildgun_squad</vt:lpstr>
      <vt:lpstr>finlandBattle_groupspecial_forces</vt:lpstr>
      <vt:lpstr>finlandBattle_groupspecial_forces_1</vt:lpstr>
      <vt:lpstr>finlandBattle_groupspecial_forces_2</vt:lpstr>
      <vt:lpstr>finlandBattle_groupspecial_forces_3</vt:lpstr>
      <vt:lpstr>finlandBattle_groupstandard_squad</vt:lpstr>
      <vt:lpstr>finlandBattle_grouptanks</vt:lpstr>
      <vt:lpstr>finlandBattle_groupvehicle</vt:lpstr>
      <vt:lpstr>finlandInfantryasset</vt:lpstr>
      <vt:lpstr>finlandInfantryasset_gun</vt:lpstr>
      <vt:lpstr>finlandInfantryAsset_Squad</vt:lpstr>
      <vt:lpstr>finlandInfantryasset_team</vt:lpstr>
      <vt:lpstr>finlandInfantrycommander</vt:lpstr>
      <vt:lpstr>finlandInfantryfeild_gun</vt:lpstr>
      <vt:lpstr>finlandInfantryfeildgun_squad</vt:lpstr>
      <vt:lpstr>finlandInfantryspecial_forces</vt:lpstr>
      <vt:lpstr>finlandInfantryspecial_forces_1</vt:lpstr>
      <vt:lpstr>finlandInfantryspecial_forces_2</vt:lpstr>
      <vt:lpstr>finlandInfantrystandard_squad</vt:lpstr>
      <vt:lpstr>finlandInfantryvehicle</vt:lpstr>
      <vt:lpstr>finlandmechanisedAsset</vt:lpstr>
      <vt:lpstr>finlandmechanisedasset_gun</vt:lpstr>
      <vt:lpstr>finlandmechanisedAsset_Squad</vt:lpstr>
      <vt:lpstr>finlandmechanisedasset_team</vt:lpstr>
      <vt:lpstr>finlandmechanisedcommander</vt:lpstr>
      <vt:lpstr>finlandmechanisedfeild_gun</vt:lpstr>
      <vt:lpstr>finlandmechanisedfeildgun_squad</vt:lpstr>
      <vt:lpstr>finlandmechanisedspecial_forces</vt:lpstr>
      <vt:lpstr>finlandmechanisedspecial_forces_1</vt:lpstr>
      <vt:lpstr>finlandmechanisedstandard_squad</vt:lpstr>
      <vt:lpstr>finlandmechanisedtanks</vt:lpstr>
      <vt:lpstr>finlandmechanisedvehicle</vt:lpstr>
      <vt:lpstr>germanyAirbourneasset</vt:lpstr>
      <vt:lpstr>germanyAirbourneAsset_Squad</vt:lpstr>
      <vt:lpstr>germanyAirbourneasset_team</vt:lpstr>
      <vt:lpstr>germanyAirbournecommander</vt:lpstr>
      <vt:lpstr>germanyAirbournespecial_forces</vt:lpstr>
      <vt:lpstr>germanyAirbournespecial_forces_1</vt:lpstr>
      <vt:lpstr>germanyAirbournespecial_forces_2</vt:lpstr>
      <vt:lpstr>germanyAirbournespecial_forces_3</vt:lpstr>
      <vt:lpstr>germanyAirbournestandard_squad</vt:lpstr>
      <vt:lpstr>germanyarmourcommander</vt:lpstr>
      <vt:lpstr>germanyarmourtanks</vt:lpstr>
      <vt:lpstr>germanyBattle_groupasset</vt:lpstr>
      <vt:lpstr>germanyBattle_groupasset_gun</vt:lpstr>
      <vt:lpstr>germanyBattle_groupAsset_Squad</vt:lpstr>
      <vt:lpstr>germanyBattle_groupasset_team</vt:lpstr>
      <vt:lpstr>germanyBattle_groupcommander</vt:lpstr>
      <vt:lpstr>germanyBattle_groupfeild_gun</vt:lpstr>
      <vt:lpstr>germanyBattle_groupfeildgun_squad</vt:lpstr>
      <vt:lpstr>germanyBattle_groupspecial_forces</vt:lpstr>
      <vt:lpstr>germanyBattle_groupspecial_forces_1</vt:lpstr>
      <vt:lpstr>germanyBattle_groupspecial_forces_2</vt:lpstr>
      <vt:lpstr>germanyBattle_groupspecial_forces_3</vt:lpstr>
      <vt:lpstr>germanyBattle_groupstandard_squad</vt:lpstr>
      <vt:lpstr>germanyBattle_grouptanks</vt:lpstr>
      <vt:lpstr>germanyBattle_groupvehicle</vt:lpstr>
      <vt:lpstr>germanyInfantryasset</vt:lpstr>
      <vt:lpstr>germanyInfantryasset_gun</vt:lpstr>
      <vt:lpstr>germanyInfantryAsset_Squad</vt:lpstr>
      <vt:lpstr>germanyInfantryasset_team</vt:lpstr>
      <vt:lpstr>germanyInfantrycommander</vt:lpstr>
      <vt:lpstr>germanyInfantryfeild_gun</vt:lpstr>
      <vt:lpstr>germanyInfantryfeildgun_squad</vt:lpstr>
      <vt:lpstr>germanyInfantryspecial_forces</vt:lpstr>
      <vt:lpstr>germanyInfantryspecial_forces_1</vt:lpstr>
      <vt:lpstr>germanyInfantryspecial_forces_2</vt:lpstr>
      <vt:lpstr>germanyInfantrystandard_squad</vt:lpstr>
      <vt:lpstr>germanyInfantryvehicle</vt:lpstr>
      <vt:lpstr>germanymechanisedAsset</vt:lpstr>
      <vt:lpstr>germanymechanisedasset_gun</vt:lpstr>
      <vt:lpstr>germanymechanisedAsset_Squad</vt:lpstr>
      <vt:lpstr>germanymechanisedasset_team</vt:lpstr>
      <vt:lpstr>germanymechanisedcommander</vt:lpstr>
      <vt:lpstr>germanymechanisedfeild_gun</vt:lpstr>
      <vt:lpstr>germanymechanisedfeildgun_squad</vt:lpstr>
      <vt:lpstr>germanymechanisedspecial_forces</vt:lpstr>
      <vt:lpstr>germanymechanisedspecial_forces_1</vt:lpstr>
      <vt:lpstr>germanymechanisedstandard_squad</vt:lpstr>
      <vt:lpstr>germanymechanisedtanks</vt:lpstr>
      <vt:lpstr>germanymechanisedvehicle</vt:lpstr>
      <vt:lpstr>Great_BritainAirbourneasset</vt:lpstr>
      <vt:lpstr>Great_BritainAirbourneAsset_Squad</vt:lpstr>
      <vt:lpstr>Great_BritainAirbourneasset_team</vt:lpstr>
      <vt:lpstr>Great_BritainAirbournecommander</vt:lpstr>
      <vt:lpstr>Great_BritainAirbournespecial_forces</vt:lpstr>
      <vt:lpstr>Great_BritainAirbournespecial_forces_1</vt:lpstr>
      <vt:lpstr>Great_BritainAirbournespecial_forces_2</vt:lpstr>
      <vt:lpstr>Great_BritainAirbournespecial_forces_3</vt:lpstr>
      <vt:lpstr>Great_BritainAirbournestandard_squad</vt:lpstr>
      <vt:lpstr>Great_Britainarmourcommander</vt:lpstr>
      <vt:lpstr>Great_Britainarmourtanks</vt:lpstr>
      <vt:lpstr>Great_BritainBattle_groupasset</vt:lpstr>
      <vt:lpstr>Great_BritainBattle_groupasset_gun</vt:lpstr>
      <vt:lpstr>Great_BritainBattle_groupAsset_Squad</vt:lpstr>
      <vt:lpstr>Great_BritainBattle_groupasset_team</vt:lpstr>
      <vt:lpstr>Great_BritainBattle_groupcommander</vt:lpstr>
      <vt:lpstr>Great_BritainBattle_groupfeild_gun</vt:lpstr>
      <vt:lpstr>Great_BritainBattle_groupfeildgun_squad</vt:lpstr>
      <vt:lpstr>Great_BritainBattle_groupspecial_forces</vt:lpstr>
      <vt:lpstr>Great_BritainBattle_groupspecial_forces_1</vt:lpstr>
      <vt:lpstr>Great_BritainBattle_groupspecial_forces_2</vt:lpstr>
      <vt:lpstr>Great_BritainBattle_groupspecial_forces_3</vt:lpstr>
      <vt:lpstr>Great_BritainBattle_groupstandard_squad</vt:lpstr>
      <vt:lpstr>Great_BritainBattle_grouptanks</vt:lpstr>
      <vt:lpstr>Great_BritainBattle_groupvehicle</vt:lpstr>
      <vt:lpstr>Great_BritainInfantryasset</vt:lpstr>
      <vt:lpstr>Great_BritainInfantryasset_gun</vt:lpstr>
      <vt:lpstr>Great_BritainInfantryAsset_Squad</vt:lpstr>
      <vt:lpstr>Great_BritainInfantryasset_team</vt:lpstr>
      <vt:lpstr>Great_BritainInfantrycommander</vt:lpstr>
      <vt:lpstr>Great_BritainInfantryfeild_gun</vt:lpstr>
      <vt:lpstr>Great_BritainInfantryfeildgun_squad</vt:lpstr>
      <vt:lpstr>Great_BritainInfantryspecial_forces</vt:lpstr>
      <vt:lpstr>Great_BritainInfantryspecial_forces_1</vt:lpstr>
      <vt:lpstr>Great_BritainInfantryspecial_forces_2</vt:lpstr>
      <vt:lpstr>Great_BritainInfantrystandard_squad</vt:lpstr>
      <vt:lpstr>Great_BritainInfantryvehicle</vt:lpstr>
      <vt:lpstr>Great_BritainmechanisedAsset</vt:lpstr>
      <vt:lpstr>Great_Britainmechanisedasset_gun</vt:lpstr>
      <vt:lpstr>Great_BritainmechanisedAsset_Squad</vt:lpstr>
      <vt:lpstr>Great_Britainmechanisedasset_team</vt:lpstr>
      <vt:lpstr>Great_Britainmechanisedcommander</vt:lpstr>
      <vt:lpstr>Great_Britainmechanisedfeild_gun</vt:lpstr>
      <vt:lpstr>Great_Britainmechanisedfeildgun_squad</vt:lpstr>
      <vt:lpstr>Great_Britainmechanisedspecial_forces</vt:lpstr>
      <vt:lpstr>Great_Britainmechanisedspecial_forces_1</vt:lpstr>
      <vt:lpstr>Great_Britainmechanisedstandard_squad</vt:lpstr>
      <vt:lpstr>Great_Britainmechanisedtanks</vt:lpstr>
      <vt:lpstr>Great_Britainmechanisedvehicle</vt:lpstr>
      <vt:lpstr>japanAirbourneasset</vt:lpstr>
      <vt:lpstr>japanAirbourneAsset_Squad</vt:lpstr>
      <vt:lpstr>japanAirbourneasset_team</vt:lpstr>
      <vt:lpstr>japanAirbournecommander</vt:lpstr>
      <vt:lpstr>japanAirbournespecial_forces</vt:lpstr>
      <vt:lpstr>japanAirbournespecial_forces_1</vt:lpstr>
      <vt:lpstr>japanAirbournespecial_forces_2</vt:lpstr>
      <vt:lpstr>japanAirbournespecial_forces_3</vt:lpstr>
      <vt:lpstr>japanAirbournestandard_squad</vt:lpstr>
      <vt:lpstr>japanarmourcommander</vt:lpstr>
      <vt:lpstr>japanarmourtanks</vt:lpstr>
      <vt:lpstr>japanBattle_groupasset</vt:lpstr>
      <vt:lpstr>japanBattle_groupasset_gun</vt:lpstr>
      <vt:lpstr>japanBattle_groupAsset_Squad</vt:lpstr>
      <vt:lpstr>japanBattle_groupasset_team</vt:lpstr>
      <vt:lpstr>japanBattle_groupcommander</vt:lpstr>
      <vt:lpstr>japanBattle_groupfeild_gun</vt:lpstr>
      <vt:lpstr>japanBattle_groupfeildgun_squad</vt:lpstr>
      <vt:lpstr>japanBattle_groupspecial_forces</vt:lpstr>
      <vt:lpstr>japanBattle_groupspecial_forces_1</vt:lpstr>
      <vt:lpstr>japanBattle_groupspecial_forces_2</vt:lpstr>
      <vt:lpstr>japanBattle_groupspecial_forces_3</vt:lpstr>
      <vt:lpstr>japanBattle_groupstandard_squad</vt:lpstr>
      <vt:lpstr>japanBattle_grouptanks</vt:lpstr>
      <vt:lpstr>japanBattle_groupvehicle</vt:lpstr>
      <vt:lpstr>japanInfantryasset</vt:lpstr>
      <vt:lpstr>japanInfantryasset_gun</vt:lpstr>
      <vt:lpstr>japanInfantryAsset_Squad</vt:lpstr>
      <vt:lpstr>japanInfantryasset_team</vt:lpstr>
      <vt:lpstr>japanInfantrycommander</vt:lpstr>
      <vt:lpstr>japanInfantryfeild_gun</vt:lpstr>
      <vt:lpstr>japanInfantryfeildgun_squad</vt:lpstr>
      <vt:lpstr>japanInfantryspecial_forces</vt:lpstr>
      <vt:lpstr>japanInfantryspecial_forces_1</vt:lpstr>
      <vt:lpstr>japanInfantryspecial_forces_2</vt:lpstr>
      <vt:lpstr>japanInfantrystandard_squad</vt:lpstr>
      <vt:lpstr>japanInfantryvehicle</vt:lpstr>
      <vt:lpstr>japanmechanisedAsset</vt:lpstr>
      <vt:lpstr>japanmechanisedasset_gun</vt:lpstr>
      <vt:lpstr>japanmechanisedAsset_Squad</vt:lpstr>
      <vt:lpstr>japanmechanisedasset_team</vt:lpstr>
      <vt:lpstr>japanmechanisedcommander</vt:lpstr>
      <vt:lpstr>japanmechanisedfeild_gun</vt:lpstr>
      <vt:lpstr>japanmechanisedfeildgun_squad</vt:lpstr>
      <vt:lpstr>japanmechanisedspecial_forces</vt:lpstr>
      <vt:lpstr>japanmechanisedspecial_forces_1</vt:lpstr>
      <vt:lpstr>japanmechanisedstandard_squad</vt:lpstr>
      <vt:lpstr>japanmechanisedtanks</vt:lpstr>
      <vt:lpstr>japanmechanisedvehicle</vt:lpstr>
      <vt:lpstr>Airbourne!Print_Area</vt:lpstr>
      <vt:lpstr>Armour!Print_Area</vt:lpstr>
      <vt:lpstr>Battle_group!Print_Area</vt:lpstr>
      <vt:lpstr>'data cards'!Print_Area</vt:lpstr>
      <vt:lpstr>Infantry!Print_Area</vt:lpstr>
      <vt:lpstr>Mechanised!Print_Area</vt:lpstr>
      <vt:lpstr>setup!Print_Area</vt:lpstr>
      <vt:lpstr>russiaAirbourneasset</vt:lpstr>
      <vt:lpstr>russiaAirbourneAsset_Squad</vt:lpstr>
      <vt:lpstr>russiaAirbourneasset_team</vt:lpstr>
      <vt:lpstr>russiaAirbournecommander</vt:lpstr>
      <vt:lpstr>russiaAirbournespecial_forces</vt:lpstr>
      <vt:lpstr>russiaAirbournespecial_forces_1</vt:lpstr>
      <vt:lpstr>russiaAirbournespecial_forces_2</vt:lpstr>
      <vt:lpstr>russiaAirbournespecial_forces_3</vt:lpstr>
      <vt:lpstr>russiaAirbournestandard_squad</vt:lpstr>
      <vt:lpstr>russiaarmourcommander</vt:lpstr>
      <vt:lpstr>russiaarmourtanks</vt:lpstr>
      <vt:lpstr>russiaBattle_groupasset</vt:lpstr>
      <vt:lpstr>russiaBattle_groupasset_gun</vt:lpstr>
      <vt:lpstr>russiaBattle_groupAsset_Squad</vt:lpstr>
      <vt:lpstr>russiaBattle_groupasset_team</vt:lpstr>
      <vt:lpstr>russiaBattle_groupcommander</vt:lpstr>
      <vt:lpstr>russiaBattle_groupfeild_gun</vt:lpstr>
      <vt:lpstr>russiaBattle_groupfeildgun_squad</vt:lpstr>
      <vt:lpstr>russiaBattle_groupspecial_forces</vt:lpstr>
      <vt:lpstr>russiaBattle_groupspecial_forces_1</vt:lpstr>
      <vt:lpstr>russiaBattle_groupspecial_forces_2</vt:lpstr>
      <vt:lpstr>russiaBattle_groupspecial_forces_3</vt:lpstr>
      <vt:lpstr>russiaBattle_groupstandard_squad</vt:lpstr>
      <vt:lpstr>russiaBattle_grouptanks</vt:lpstr>
      <vt:lpstr>russiaBattle_groupvehicle</vt:lpstr>
      <vt:lpstr>russiaInfantryasset</vt:lpstr>
      <vt:lpstr>russiaInfantryasset_gun</vt:lpstr>
      <vt:lpstr>russiaInfantryAsset_Squad</vt:lpstr>
      <vt:lpstr>russiaInfantryasset_team</vt:lpstr>
      <vt:lpstr>russiaInfantrycommander</vt:lpstr>
      <vt:lpstr>russiaInfantryfeild_gun</vt:lpstr>
      <vt:lpstr>russiaInfantryfeildgun_squad</vt:lpstr>
      <vt:lpstr>russiaInfantryspecial_forces</vt:lpstr>
      <vt:lpstr>russiaInfantryspecial_forces_1</vt:lpstr>
      <vt:lpstr>russiaInfantryspecial_forces_2</vt:lpstr>
      <vt:lpstr>russiaInfantrystandard_squad</vt:lpstr>
      <vt:lpstr>russiaInfantryvehicle</vt:lpstr>
      <vt:lpstr>russiamechanisedAsset</vt:lpstr>
      <vt:lpstr>russiamechanisedasset_gun</vt:lpstr>
      <vt:lpstr>russiamechanisedAsset_Squad</vt:lpstr>
      <vt:lpstr>russiamechanisedasset_team</vt:lpstr>
      <vt:lpstr>russiamechanisedcommander</vt:lpstr>
      <vt:lpstr>russiamechanisedfeild_gun</vt:lpstr>
      <vt:lpstr>russiamechanisedfeildgun_squad</vt:lpstr>
      <vt:lpstr>russiamechanisedspecial_forces</vt:lpstr>
      <vt:lpstr>russiamechanisedspecial_forces_1</vt:lpstr>
      <vt:lpstr>russiamechanisedstandard_squad</vt:lpstr>
      <vt:lpstr>russiamechanisedtanks</vt:lpstr>
      <vt:lpstr>russiamechanisedvehicle</vt:lpstr>
      <vt:lpstr>squad_types</vt:lpstr>
      <vt:lpstr>standard_squad</vt:lpstr>
      <vt:lpstr>usaAirbourneasset</vt:lpstr>
      <vt:lpstr>usaAirbourneAsset_Squad</vt:lpstr>
      <vt:lpstr>usaAirbourneasset_team</vt:lpstr>
      <vt:lpstr>usaAirbournecommander</vt:lpstr>
      <vt:lpstr>usaAirbournespecial_forces</vt:lpstr>
      <vt:lpstr>usaAirbournespecial_forces_1</vt:lpstr>
      <vt:lpstr>usaAirbournespecial_forces_2</vt:lpstr>
      <vt:lpstr>usaAirbournespecial_forces_3</vt:lpstr>
      <vt:lpstr>usaAirbournestandard_squad</vt:lpstr>
      <vt:lpstr>usaarmourcommander</vt:lpstr>
      <vt:lpstr>usaarmourtanks</vt:lpstr>
      <vt:lpstr>usaBattle_groupasset</vt:lpstr>
      <vt:lpstr>usaBattle_groupasset_gun</vt:lpstr>
      <vt:lpstr>usaBattle_groupAsset_Squad</vt:lpstr>
      <vt:lpstr>usaBattle_groupasset_team</vt:lpstr>
      <vt:lpstr>usaBattle_groupcommander</vt:lpstr>
      <vt:lpstr>usaBattle_groupfeild_gun</vt:lpstr>
      <vt:lpstr>usaBattle_groupfeildgun_squad</vt:lpstr>
      <vt:lpstr>usaBattle_groupspecial_forces</vt:lpstr>
      <vt:lpstr>usaBattle_groupspecial_forces_1</vt:lpstr>
      <vt:lpstr>usaBattle_groupspecial_forces_2</vt:lpstr>
      <vt:lpstr>usaBattle_groupspecial_forces_3</vt:lpstr>
      <vt:lpstr>usaBattle_groupstandard_squad</vt:lpstr>
      <vt:lpstr>usaBattle_grouptanks</vt:lpstr>
      <vt:lpstr>usaBattle_groupvehicle</vt:lpstr>
      <vt:lpstr>usaInfantryasset</vt:lpstr>
      <vt:lpstr>usaInfantryasset_gun</vt:lpstr>
      <vt:lpstr>usaInfantryAsset_Squad</vt:lpstr>
      <vt:lpstr>usaInfantryasset_team</vt:lpstr>
      <vt:lpstr>usaInfantrycommander</vt:lpstr>
      <vt:lpstr>usaInfantryfeild_gun</vt:lpstr>
      <vt:lpstr>usaInfantryfeildgun_squad</vt:lpstr>
      <vt:lpstr>usaInfantryspecial_forces</vt:lpstr>
      <vt:lpstr>usaInfantryspecial_forces_1</vt:lpstr>
      <vt:lpstr>usaInfantryspecial_forces_2</vt:lpstr>
      <vt:lpstr>usaInfantrystandard_squad</vt:lpstr>
      <vt:lpstr>usaInfantryvehicle</vt:lpstr>
      <vt:lpstr>usamechanisedAsset</vt:lpstr>
      <vt:lpstr>usamechanisedasset_gun</vt:lpstr>
      <vt:lpstr>usamechanisedAsset_Squad</vt:lpstr>
      <vt:lpstr>usamechanisedasset_team</vt:lpstr>
      <vt:lpstr>usamechanisedcommander</vt:lpstr>
      <vt:lpstr>usamechanisedfeild_gun</vt:lpstr>
      <vt:lpstr>usamechanisedfeildgun_squad</vt:lpstr>
      <vt:lpstr>usamechanisedspecial_forces</vt:lpstr>
      <vt:lpstr>usamechanisedspecial_forces_1</vt:lpstr>
      <vt:lpstr>usamechanisedstandard_squad</vt:lpstr>
      <vt:lpstr>usamechanisedtanks</vt:lpstr>
      <vt:lpstr>usamechanisedvehicle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2026-04-01T21:57:18Z</dcterms:modified>
</cp:coreProperties>
</file>